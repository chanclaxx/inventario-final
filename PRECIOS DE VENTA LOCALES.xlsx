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EEME" sheetId="1" r:id="rId5"/>
    <sheet state="hidden" name="CATEGORIAS GENERALES" sheetId="2" r:id="rId6"/>
    <sheet state="visible" name="CATALOGO PRECIOS DE VENTA" sheetId="3" r:id="rId7"/>
  </sheets>
  <definedNames>
    <definedName name="LISTA_TABLETS">#REF!</definedName>
    <definedName localSheetId="2" name="LISTA_CREACION_DE_CONTENIDO">'CATALOGO PRECIOS DE VENTA'!$B$137:$B$149</definedName>
    <definedName name="LISTA_SMARTWATCH">#REF!</definedName>
    <definedName localSheetId="2" name="LISTA_PLUYINS">#REF!</definedName>
    <definedName name="LISTA_POWERBANK">#REF!</definedName>
    <definedName localSheetId="2" name="LISTA_VIDEOJUEGOS_Y_CONSOLAS">'CATALOGO PRECIOS DE VENTA'!$B$182</definedName>
    <definedName name="ListaCategorias">'CATEGORIAS GENERALES'!$A$2:$A$23</definedName>
    <definedName localSheetId="2" name="LISTA_PARLANTES">'CATALOGO PRECIOS DE VENTA'!$B$21:$B$29</definedName>
    <definedName localSheetId="2" name="LISTA_COMBOS">'CATALOGO PRECIOS DE VENTA'!$B$37</definedName>
    <definedName localSheetId="2" name="LISTA_TABLETS">'CATALOGO PRECIOS DE VENTA'!$B$38:$B$44</definedName>
    <definedName name="LISTA_PROTECTORES_CAMARA">#REF!</definedName>
    <definedName name="LISTA_PROTECTORES_PANTALLA">#REF!</definedName>
    <definedName name="LISTA_VIDEOJUEGOS_Y_CONSOLAS">#REF!</definedName>
    <definedName name="LISTA_ACCESORIOS_APPLE_WATCH">#REF!</definedName>
    <definedName localSheetId="2" name="LISTA_ESTUCHERIA">'CATALOGO PRECIOS DE VENTA'!$B$124:$B$136</definedName>
    <definedName name="LISTA_DIADEMAS">#REF!</definedName>
    <definedName localSheetId="2" name="LISTA_FUERA_DE_LINEA">'CATALOGO PRECIOS DE VENTA'!$B$195:$B$197</definedName>
    <definedName name="TasaIVA">'CATEGORIAS GENERALES'!$G$2</definedName>
    <definedName localSheetId="2" name="LISTA_PC">'CATALOGO PRECIOS DE VENTA'!$B$75:$B$86</definedName>
    <definedName localSheetId="2" name="LISTA_PACHAS">'CATALOGO PRECIOS DE VENTA'!$B$105:$B$112</definedName>
    <definedName localSheetId="2" name="LISTA_CARGADORES">'CATALOGO PRECIOS DE VENTA'!$B$87:$B$104</definedName>
    <definedName localSheetId="2" name="LISTA_AUDIFONOS">'CATALOGO PRECIOS DE VENTA'!$B$2:$B$12</definedName>
    <definedName localSheetId="2" name="LISTA_DIADEMAS">'CATALOGO PRECIOS DE VENTA'!$B$13:$B$20</definedName>
    <definedName name="LISTA_ESTUCHERIA">#REF!</definedName>
    <definedName localSheetId="2" name="LISTA_PROTECTORES_CAMARA">'CATALOGO PRECIOS DE VENTA'!$B$183:$B$194</definedName>
    <definedName name="LISTA_PC">#REF!</definedName>
    <definedName localSheetId="2" name="LISTA_HOLDER">'CATALOGO PRECIOS DE VENTA'!$B$71:$B$74</definedName>
    <definedName name="LISTA_AUDIFONOS">#REF!</definedName>
    <definedName localSheetId="2" name="LISTA_ACCESORIOS_APPLE_WATCH">'CATALOGO PRECIOS DE VENTA'!$B$150:$B$167</definedName>
    <definedName localSheetId="2" name="LISTA_POWERBANK">'CATALOGO PRECIOS DE VENTA'!$B$113:$B$115</definedName>
    <definedName name="LISTA_COMBOS">#REF!</definedName>
    <definedName name="LISTA_HOLDER">#REF!</definedName>
    <definedName name="LISTA_PACHAS">#REF!</definedName>
    <definedName name="LISTA_CARGADORES">#REF!</definedName>
    <definedName name="LISTA_PLUYINS">#REF!</definedName>
    <definedName name="LISTA_TEMPORADA">#REF!</definedName>
    <definedName name="LISTA_PARLANTES">#REF!</definedName>
    <definedName localSheetId="2" name="LISTA_CABLES">'CATALOGO PRECIOS DE VENTA'!$B$45:$B$70</definedName>
    <definedName name="LISTA_FUERA_DE_LINEA">#REF!</definedName>
    <definedName localSheetId="2" name="LISTA_PROTECTORES_PANTALLA">'CATALOGO PRECIOS DE VENTA'!$B$168:$B$177</definedName>
    <definedName name="LISTA_CREACION_DE_CONTENIDO">#REF!</definedName>
    <definedName name="LISTA_CABLES">#REF!</definedName>
    <definedName localSheetId="2" name="LISTA_TEMPORADA">'CATALOGO PRECIOS DE VENTA'!$B$179:$B$181</definedName>
    <definedName localSheetId="2" name="LISTA_SMARTWATCH">'CATALOGO PRECIOS DE VENTA'!$B$30:$B$36</definedName>
    <definedName hidden="1" localSheetId="1" name="_xlnm._FilterDatabase">'CATEGORIAS GENERALES'!$A$29:$A$52</definedName>
    <definedName hidden="1" localSheetId="2" name="_xlnm._FilterDatabase">'CATALOGO PRECIOS DE VENTA'!$A$1:$G$474</definedName>
  </definedNames>
  <calcPr/>
</workbook>
</file>

<file path=xl/sharedStrings.xml><?xml version="1.0" encoding="utf-8"?>
<sst xmlns="http://schemas.openxmlformats.org/spreadsheetml/2006/main" count="1406" uniqueCount="561">
  <si>
    <t>🟧 Naranja (celda) = sin precio de compra registrado en tu costeo original — confírmalo.</t>
  </si>
  <si>
    <t>Categoría</t>
  </si>
  <si>
    <t>Prefijo código</t>
  </si>
  <si>
    <t>Grupo (numérico)</t>
  </si>
  <si>
    <t>Notas</t>
  </si>
  <si>
    <t>PARÁMETRO</t>
  </si>
  <si>
    <t>VALOR</t>
  </si>
  <si>
    <t>ACCESORIOS APPLE WATCH</t>
  </si>
  <si>
    <t>26</t>
  </si>
  <si>
    <t>CATEGORIA</t>
  </si>
  <si>
    <t>Producto</t>
  </si>
  <si>
    <t>Proveedor</t>
  </si>
  <si>
    <t>Precio de compra (con IVA)</t>
  </si>
  <si>
    <t>PRECIO 1 PASAMANO</t>
  </si>
  <si>
    <t>PRECIO AL POR MAYOR</t>
  </si>
  <si>
    <t>PRECIO CLIENTE FINAL</t>
  </si>
  <si>
    <t>PROTECTOR BORDE ESCARCHADO</t>
  </si>
  <si>
    <t/>
  </si>
  <si>
    <t>ACCESORIOS TELEFONIA</t>
  </si>
  <si>
    <t>Confirmaste que el 'precio de compra' del costeo YA incluye IVA. Se asumió la tarifa general de Colombia (19%). Si alguna categoría tuya maneja otra tarifa, cámbiala aquí y todos los costos del archivo se recalculan solos.</t>
  </si>
  <si>
    <t>AUDIFONOS</t>
  </si>
  <si>
    <t>11</t>
  </si>
  <si>
    <t>CABLES</t>
  </si>
  <si>
    <t>17</t>
  </si>
  <si>
    <t>CARGADORES</t>
  </si>
  <si>
    <t>21</t>
  </si>
  <si>
    <t>CARGADOR DE CARRO</t>
  </si>
  <si>
    <t>18</t>
  </si>
  <si>
    <t>COMBOS</t>
  </si>
  <si>
    <t>15</t>
  </si>
  <si>
    <t>CREACION DE CONTENIDO</t>
  </si>
  <si>
    <t>360 NEGRO</t>
  </si>
  <si>
    <t>25</t>
  </si>
  <si>
    <t>360 TRANSPARENTE</t>
  </si>
  <si>
    <t>DIADEMAS</t>
  </si>
  <si>
    <t>12</t>
  </si>
  <si>
    <t>CORREA CORRUGADA</t>
  </si>
  <si>
    <t>ESTUCHERIA</t>
  </si>
  <si>
    <t>24</t>
  </si>
  <si>
    <t>CORREA DOBLE FAZ IMÁN</t>
  </si>
  <si>
    <t>JD</t>
  </si>
  <si>
    <t>CORREA IMÁN SIMPLE STYLISH UNICOLOR</t>
  </si>
  <si>
    <t>FUERA DE LINEA</t>
  </si>
  <si>
    <t>HOLDER</t>
  </si>
  <si>
    <t>19</t>
  </si>
  <si>
    <t>PACHAS</t>
  </si>
  <si>
    <t>22</t>
  </si>
  <si>
    <t>PARLANTES</t>
  </si>
  <si>
    <t>13</t>
  </si>
  <si>
    <t>PC</t>
  </si>
  <si>
    <t>20</t>
  </si>
  <si>
    <t>CORREA JLLC 010 IMANTADA DOBLE FAZ</t>
  </si>
  <si>
    <t>YESID DTR</t>
  </si>
  <si>
    <t>POWERBANK</t>
  </si>
  <si>
    <t>23</t>
  </si>
  <si>
    <t>CORREA LEGO</t>
  </si>
  <si>
    <t>PROTECTORES CAMARA</t>
  </si>
  <si>
    <t>30</t>
  </si>
  <si>
    <t>CORREA LISA</t>
  </si>
  <si>
    <t xml:space="preserve">CORREA SEMICORRUGADA TECNO PLUS </t>
  </si>
  <si>
    <t>TECNOPLUS</t>
  </si>
  <si>
    <t>PROTECTORES PANTALLA</t>
  </si>
  <si>
    <t>27</t>
  </si>
  <si>
    <t>CORREA SILICONA SIMILAR A VELCRO</t>
  </si>
  <si>
    <t>SMARTWATCH</t>
  </si>
  <si>
    <t>14</t>
  </si>
  <si>
    <t>CORREA TITANIO A3</t>
  </si>
  <si>
    <t>CORREA TRENZA</t>
  </si>
  <si>
    <t>TABLETS</t>
  </si>
  <si>
    <t>16</t>
  </si>
  <si>
    <t>CORREA VELCRO HIGTH QUALITY</t>
  </si>
  <si>
    <t>TEMPORADA</t>
  </si>
  <si>
    <t>28</t>
  </si>
  <si>
    <t xml:space="preserve">CORREAS VKG VELCRO IMÁN </t>
  </si>
  <si>
    <t>VIKINGO</t>
  </si>
  <si>
    <t>VAPORIZADORES</t>
  </si>
  <si>
    <t>PROTECTOR BORDE DIAMOND</t>
  </si>
  <si>
    <t>CORREA METALIZADA</t>
  </si>
  <si>
    <t>VIDEOJUEGOS Y CONSOLAS</t>
  </si>
  <si>
    <t>29</t>
  </si>
  <si>
    <t>CORREA VELCRO CREATIVE</t>
  </si>
  <si>
    <t>VENTOSAS DOBLES</t>
  </si>
  <si>
    <t xml:space="preserve">WALLET MAGSAFE MATE ACRILICA </t>
  </si>
  <si>
    <t>CORDON MUÑECA</t>
  </si>
  <si>
    <t>CORREA TIPO BOLSO</t>
  </si>
  <si>
    <t>WALLET MAGSAFE TIPO CUERO</t>
  </si>
  <si>
    <t>POPSOCKET LABUBU</t>
  </si>
  <si>
    <t>POPSOCKET PS</t>
  </si>
  <si>
    <t>BOLSA AGUA PARA CELULAR VX</t>
  </si>
  <si>
    <t>AIRPODS 3 GENERACIÓN GENERICOS</t>
  </si>
  <si>
    <t>AIRPODS 4 GENERACIÓN GENERICOS</t>
  </si>
  <si>
    <t>AIRPODS PRO 2 GENERICOS</t>
  </si>
  <si>
    <t>AIRPODS PRO 3 GENERICOS</t>
  </si>
  <si>
    <t>AKG TIPO C SAMSUNG GENERICOS</t>
  </si>
  <si>
    <t>PITBULL</t>
  </si>
  <si>
    <t>BT BMAX B2</t>
  </si>
  <si>
    <t>BEMAX</t>
  </si>
  <si>
    <t>BT GALAXY BUDS FE</t>
  </si>
  <si>
    <t>MIGUEL DUQUE</t>
  </si>
  <si>
    <t>BT GAXALY BUDS 2 PRO</t>
  </si>
  <si>
    <t>CALL</t>
  </si>
  <si>
    <t>BT EAR CUFF MT-09</t>
  </si>
  <si>
    <t>KBZ</t>
  </si>
  <si>
    <t>BT GAMER X15</t>
  </si>
  <si>
    <t>FOCUS</t>
  </si>
  <si>
    <t>MYL-01</t>
  </si>
  <si>
    <t>ML B-81</t>
  </si>
  <si>
    <t>BT BMAX-05 CUELLERA</t>
  </si>
  <si>
    <t>BT CONDUCCIÓN OSEA BMAX-09</t>
  </si>
  <si>
    <t>BT SAMSUNG CUELLERA GB-B02</t>
  </si>
  <si>
    <t>BT CUELLERA JBL GB-B01</t>
  </si>
  <si>
    <t>BT GAMER K-89</t>
  </si>
  <si>
    <t>BT MT-06</t>
  </si>
  <si>
    <t>BT CONDUCCIÓN OSEA MT-D01</t>
  </si>
  <si>
    <t>BT EAR CUFFS NE-75</t>
  </si>
  <si>
    <t>ALEXIS</t>
  </si>
  <si>
    <t>ML AKG F-HA5018</t>
  </si>
  <si>
    <t>PRO 11S IA TRADUCCION</t>
  </si>
  <si>
    <t>JUNIOR R5</t>
  </si>
  <si>
    <t>BEMAX ATW-23</t>
  </si>
  <si>
    <t>BEMAX CIRCULO IMMERSIVE AUDIO</t>
  </si>
  <si>
    <t>JBL HARMAN WAVE 320</t>
  </si>
  <si>
    <t>EARPHONES SAMSUNG SUPER BASS PLUG</t>
  </si>
  <si>
    <t>REDMI BUDS 4 ACTIVE</t>
  </si>
  <si>
    <t>JS</t>
  </si>
  <si>
    <t>SAWA BT T10</t>
  </si>
  <si>
    <t>SPINER BT TW5074</t>
  </si>
  <si>
    <t>BT G55</t>
  </si>
  <si>
    <t>BT MT-06 PRO</t>
  </si>
  <si>
    <t>ML MAYKA MA-02</t>
  </si>
  <si>
    <t>MAYKA</t>
  </si>
  <si>
    <t>ML ORIGINALES APPLE TIPO C</t>
  </si>
  <si>
    <t>ML ORIGINALES APPLE LIGTHNING</t>
  </si>
  <si>
    <t>AUXILIAR PLUG 3.5 BEMAX</t>
  </si>
  <si>
    <t>C A C 1M AMERICAN</t>
  </si>
  <si>
    <t>AMERICAN TG</t>
  </si>
  <si>
    <t>CABLE USB A LIGTH GEN APPLE GENERICO</t>
  </si>
  <si>
    <t>HDMI 1.5</t>
  </si>
  <si>
    <t>HDMI 3</t>
  </si>
  <si>
    <t>HDMI 5</t>
  </si>
  <si>
    <t>KN-108 TIPO C A TIPO C</t>
  </si>
  <si>
    <t>ATB</t>
  </si>
  <si>
    <t>MY-CB11 USB V8</t>
  </si>
  <si>
    <t>MY-CB12 USB TIPO C</t>
  </si>
  <si>
    <t>MY-CB13 C A C</t>
  </si>
  <si>
    <t>MY-CB2.0M TIPO C-C</t>
  </si>
  <si>
    <t>MY-CB2.0M TIPO USB-C</t>
  </si>
  <si>
    <t>TIPO C A LIGTH 1M GEN APPLE</t>
  </si>
  <si>
    <t>TIPO C A LIGTH 2 M GEN APPLE</t>
  </si>
  <si>
    <t>TIPO C A LIGTH ORIGINAL 1M</t>
  </si>
  <si>
    <t>ALEX S.T</t>
  </si>
  <si>
    <t>TIPO C A TIPO C 120W XIAOMI</t>
  </si>
  <si>
    <t>TIPO C A TIPO C 1M GEN APPLE</t>
  </si>
  <si>
    <t>TIPO C A TIPO C 2M GEN APPLE</t>
  </si>
  <si>
    <t>TIPO C A TIPO C 2M MTF</t>
  </si>
  <si>
    <t>TIPO C A TIPO C ORIGINAL 1M IPHONE</t>
  </si>
  <si>
    <t>USB A TIPO C 4A</t>
  </si>
  <si>
    <t>USB A TIPO C 5A</t>
  </si>
  <si>
    <t>USB A TIPO C MI CAJA LARGA 6A</t>
  </si>
  <si>
    <t>SANTIAGO GS</t>
  </si>
  <si>
    <t>CB-1012 TIPO C-C KINOTEC</t>
  </si>
  <si>
    <t>USB A TIPO C SAMSUNG CAJA LARGA</t>
  </si>
  <si>
    <t>USB A V8 AMERICAN</t>
  </si>
  <si>
    <t>TIPO C A TIPO C SAMSUNG GEN</t>
  </si>
  <si>
    <t>TIPO C A TIPO C ORG SAMSUNG</t>
  </si>
  <si>
    <t>SAMSUNG USB A V8 CAJA GRIS</t>
  </si>
  <si>
    <t>TIPO C A TIPO C 1M 60W</t>
  </si>
  <si>
    <t>USB A TIPO C 120W XIAOMI</t>
  </si>
  <si>
    <t>USB A TIPO C SAMSUNG CAJA NEGRA S10</t>
  </si>
  <si>
    <t>USB A V8 SAMSUNG</t>
  </si>
  <si>
    <t>USB A TIPO C 6A BLANCO NARANJA SIN CAJA</t>
  </si>
  <si>
    <t>ATB USB TIPO C 3.5A</t>
  </si>
  <si>
    <t>USB DATA CABLE 3.1A</t>
  </si>
  <si>
    <t>C A C 66W XF-169</t>
  </si>
  <si>
    <t>TIPO C A LIGHT 20W XF-170</t>
  </si>
  <si>
    <t>3 EN 1 XF-166</t>
  </si>
  <si>
    <t>USB A LIGHT SPEED 5A</t>
  </si>
  <si>
    <t>CABLE TIPO C A IPHONE VTX 08</t>
  </si>
  <si>
    <t>CABLE TIPO C A TIPO C VTX 07</t>
  </si>
  <si>
    <t>BEMAX 38W X7</t>
  </si>
  <si>
    <t>INALÁMBRICO FJ20</t>
  </si>
  <si>
    <t>INHALANBRICO C10</t>
  </si>
  <si>
    <t>CAS</t>
  </si>
  <si>
    <t>MY PL01</t>
  </si>
  <si>
    <t>MY-PL03</t>
  </si>
  <si>
    <t>NARANJA 38W</t>
  </si>
  <si>
    <t>CAR CHARGER NJ-126</t>
  </si>
  <si>
    <t>AMERICAN</t>
  </si>
  <si>
    <t>MY-PL02</t>
  </si>
  <si>
    <t>IPHONE 14 PRO MAX 20W</t>
  </si>
  <si>
    <t>AMERICAN 6A PD</t>
  </si>
  <si>
    <t>PLUYIN COMPLETO TC BEMAX</t>
  </si>
  <si>
    <t>20W 4A</t>
  </si>
  <si>
    <t>JEFFERSON</t>
  </si>
  <si>
    <t>20W APPLE LIGTHING</t>
  </si>
  <si>
    <t>25W SAMSUNG GENERICO</t>
  </si>
  <si>
    <t>25W SAMSUNG ORIGINAL</t>
  </si>
  <si>
    <t>33W V8 MY TECHNOLOGY</t>
  </si>
  <si>
    <t>35W APPLE C A C</t>
  </si>
  <si>
    <t>45W SAMSUNG GENERICO</t>
  </si>
  <si>
    <t>45W SAMSUNG ORIGINAL</t>
  </si>
  <si>
    <t>BEMAX TIPO C BE-100</t>
  </si>
  <si>
    <t>BEMAX TIPO C BX-08</t>
  </si>
  <si>
    <t>BEMAX V8 BE-100</t>
  </si>
  <si>
    <t>MOTOROLA 3.0 TIPO C</t>
  </si>
  <si>
    <t>MTF V8</t>
  </si>
  <si>
    <t>MTF</t>
  </si>
  <si>
    <t>SAMSUNG TRAVEL 3.0A</t>
  </si>
  <si>
    <t>XIAOMI 120W CAJA GRANDE</t>
  </si>
  <si>
    <t>XIAOMI 120W</t>
  </si>
  <si>
    <t>CARGADOR APPLE WATCH TIPO C</t>
  </si>
  <si>
    <t>CARGADOR MAGSAFE APPLE</t>
  </si>
  <si>
    <t>SANTIAGO GIRALDO</t>
  </si>
  <si>
    <t>XIAOMI 33W</t>
  </si>
  <si>
    <t>IVOX</t>
  </si>
  <si>
    <t>XIAOMI 67W</t>
  </si>
  <si>
    <t>BEMAX TIPO C2 IN 1 CD-2</t>
  </si>
  <si>
    <t>MOVISUN TIPO C 1M M-33UC</t>
  </si>
  <si>
    <t>XIAOMI GAN 65W MINI FAST TIPO C</t>
  </si>
  <si>
    <t>MI 33W POWER ADAPTER SUIT</t>
  </si>
  <si>
    <t>45W ADAPTER 5A</t>
  </si>
  <si>
    <t>MI 120W POWER ADAPTER SUIT</t>
  </si>
  <si>
    <t>XIAOMI BOLSITA</t>
  </si>
  <si>
    <t>SAMSUNG BOLSITA</t>
  </si>
  <si>
    <t>V11</t>
  </si>
  <si>
    <t>D-P9</t>
  </si>
  <si>
    <t>BULLS</t>
  </si>
  <si>
    <t>ROCK-460</t>
  </si>
  <si>
    <t>GT 63 GAME/SMARTWATCH</t>
  </si>
  <si>
    <t>ARO DE LUZ ZB-F458</t>
  </si>
  <si>
    <t>ARO DE LUZ ZB-RGB56</t>
  </si>
  <si>
    <t>GAFAS BEMAX IA</t>
  </si>
  <si>
    <t>LED POCKET KBZ</t>
  </si>
  <si>
    <t>MICROFONO K9</t>
  </si>
  <si>
    <t>MICROFONO K8</t>
  </si>
  <si>
    <t>MICROFONO F11-2</t>
  </si>
  <si>
    <t>SELFI STICK TALLA L AMERICAN</t>
  </si>
  <si>
    <t>SELFI STICK TALLA S AMERICAN</t>
  </si>
  <si>
    <t>TRIPODE BÁSICO 2.1M</t>
  </si>
  <si>
    <t>TRÍPODE C12</t>
  </si>
  <si>
    <t>TRÍPODE TG668</t>
  </si>
  <si>
    <t>VIDEO MAKING KIT AY49 CALL</t>
  </si>
  <si>
    <t xml:space="preserve">CUBO LUZ LED CELULAR 3 TONOS </t>
  </si>
  <si>
    <t>MICROFONO SOLAPA F15-2</t>
  </si>
  <si>
    <t>MICROFONO WIRELESS</t>
  </si>
  <si>
    <t>SELFIE STICK TRIPODE CAJA AMARILLA</t>
  </si>
  <si>
    <t>YESID</t>
  </si>
  <si>
    <t xml:space="preserve">MICROFO SX85 </t>
  </si>
  <si>
    <t>MICROFONO SX63</t>
  </si>
  <si>
    <t>MICROFONO SX960</t>
  </si>
  <si>
    <t>VIDEO KIT AY49X</t>
  </si>
  <si>
    <t>MICROFONO M4 PC</t>
  </si>
  <si>
    <t>MICROFONO PODCAST T20</t>
  </si>
  <si>
    <t>ARO DE LUZ P220-Q</t>
  </si>
  <si>
    <t>ARO DE LUZ MJ33 RGB LED</t>
  </si>
  <si>
    <t>FROZEN - AH-806Z FS2</t>
  </si>
  <si>
    <t>HELLO KITTY - AH-906D FS2</t>
  </si>
  <si>
    <t>FS2</t>
  </si>
  <si>
    <t>AIRPODSMAX 1.1</t>
  </si>
  <si>
    <t>BOSÉ SOUND IS POWER</t>
  </si>
  <si>
    <t>JBL TOUR ONE M2</t>
  </si>
  <si>
    <t>CAT - MSL-826 FS2</t>
  </si>
  <si>
    <t>OSO - MSL-829 FS2</t>
  </si>
  <si>
    <t>SONY UUH-B700</t>
  </si>
  <si>
    <t>DIADEMAS GAMER NIÑO GM</t>
  </si>
  <si>
    <t>GEAR MAGSAFE NEGRA</t>
  </si>
  <si>
    <t>ESTUCHE AIRPODS LUJO DISEÑO 3D DAMA</t>
  </si>
  <si>
    <t>ESTUCHE CARGADOR 20W PIEDRAS BRILLO</t>
  </si>
  <si>
    <t>PROTECTOR AIRPODS ASTRONAUTA</t>
  </si>
  <si>
    <t>DISEÑO SILICONA AIRPODS</t>
  </si>
  <si>
    <t xml:space="preserve">DISEÑO SILICONA CARGADOR </t>
  </si>
  <si>
    <t>PROTECTOR BOLSO AIRPODS</t>
  </si>
  <si>
    <t>PROTECTOR AIRPODS PIEDRAS BRILLO</t>
  </si>
  <si>
    <t>MAGSAFE IPHONE ORIGINAL</t>
  </si>
  <si>
    <t>SILICON IPHONE</t>
  </si>
  <si>
    <t>SILICON TECNO</t>
  </si>
  <si>
    <t>SILICON INFINIX</t>
  </si>
  <si>
    <t>SILICON MOTOROLA</t>
  </si>
  <si>
    <t>SILICON VIVO</t>
  </si>
  <si>
    <t>SILICON OPPO</t>
  </si>
  <si>
    <t>SILICON SAMSUNG</t>
  </si>
  <si>
    <t>SILICON HONOR/HUAWEI</t>
  </si>
  <si>
    <t>SILICON XIAOMI/REDMI/POCO</t>
  </si>
  <si>
    <t>SPACE IPHONE</t>
  </si>
  <si>
    <t>SPACE MAGSAFE IPHONE</t>
  </si>
  <si>
    <t>SILICON AIRPODS</t>
  </si>
  <si>
    <t>PROTECTOR AIRTAG</t>
  </si>
  <si>
    <t>ESTUCHE CARGADOR 20W DISEÑO 3D PIT</t>
  </si>
  <si>
    <t>ESTUCHE AIRPODS LUJO DISEÑO 3D DAMA PIT</t>
  </si>
  <si>
    <t>PROTECTOR CABLE CON PUNTAS</t>
  </si>
  <si>
    <t>CASE LUJO VX123456</t>
  </si>
  <si>
    <t>GEAR MAGSAFE TRANSPARENTE IPHONE LINEA 18</t>
  </si>
  <si>
    <t>GEAR MAGSAFE NEGRA IPHONE LINEA 18</t>
  </si>
  <si>
    <t>GEAR MAGSAFE COLORES IPHONE LINEA 18</t>
  </si>
  <si>
    <t>CASE LUJO VX001</t>
  </si>
  <si>
    <t>CASE LUJO VX0013</t>
  </si>
  <si>
    <t>CASE LUJO VX006</t>
  </si>
  <si>
    <t>CASE LUJO VX0183</t>
  </si>
  <si>
    <t>CASE LUJO VX0197</t>
  </si>
  <si>
    <t>CASE LUJO VX035</t>
  </si>
  <si>
    <t>CASE LUJO VX0364</t>
  </si>
  <si>
    <t>CASE LUJO VX05</t>
  </si>
  <si>
    <t>CASE LUJO VX1034</t>
  </si>
  <si>
    <t>CASE LUJO VX10374</t>
  </si>
  <si>
    <t>CASE LUJO VX1107</t>
  </si>
  <si>
    <t>CASE LUJO VX111</t>
  </si>
  <si>
    <t>CASE LUJO VX11966</t>
  </si>
  <si>
    <t>CASE LUJO VX125</t>
  </si>
  <si>
    <t>CASE LUJO VX1420</t>
  </si>
  <si>
    <t>CASE LUJO VX1713</t>
  </si>
  <si>
    <t>CASE LUJO VX19288</t>
  </si>
  <si>
    <t>CASE LUJO VX245</t>
  </si>
  <si>
    <t>CASE LUJO VX29045</t>
  </si>
  <si>
    <t>CASE LUJO VX3011</t>
  </si>
  <si>
    <t>CASE LUJO VX350</t>
  </si>
  <si>
    <t>CASE LUJO VX372</t>
  </si>
  <si>
    <t>CASE LUJO VX375</t>
  </si>
  <si>
    <t>CASE LUJO VX41</t>
  </si>
  <si>
    <t>CASE LUJO VX65</t>
  </si>
  <si>
    <t>CASE LUJO VX728</t>
  </si>
  <si>
    <t>CASE LUJO VX777</t>
  </si>
  <si>
    <t>CASE LUJO VX78</t>
  </si>
  <si>
    <t>CASE LUJO VX89</t>
  </si>
  <si>
    <t>CASE LUJO VX890</t>
  </si>
  <si>
    <t>CASE LUJO VX8910</t>
  </si>
  <si>
    <t>CASE LUJO VX8965</t>
  </si>
  <si>
    <t>CASE LUJO VX994</t>
  </si>
  <si>
    <t>CASE LUJO VX 10273</t>
  </si>
  <si>
    <t>CASE LUJO VX0008</t>
  </si>
  <si>
    <t>CASE LUJO VX004</t>
  </si>
  <si>
    <t>CASE LUJO VX007</t>
  </si>
  <si>
    <t>CASE LUJO VX009</t>
  </si>
  <si>
    <t>CASE LUJO VX0181</t>
  </si>
  <si>
    <t>CASE LUJO VX09</t>
  </si>
  <si>
    <t>CASE LUJO VX100</t>
  </si>
  <si>
    <t>CASE LUJO VX101</t>
  </si>
  <si>
    <t>CASE LUJO VX102</t>
  </si>
  <si>
    <t>CASE LUJO VX10273</t>
  </si>
  <si>
    <t>CASE LUJO VX1029</t>
  </si>
  <si>
    <t>CASE LUJO VX104</t>
  </si>
  <si>
    <t>CASE LUJO VX106</t>
  </si>
  <si>
    <t>CASE LUJO VX109</t>
  </si>
  <si>
    <t>CASE LUJO VX1193</t>
  </si>
  <si>
    <t>CASE LUJO VX1415</t>
  </si>
  <si>
    <t>CASE LUJO VX151</t>
  </si>
  <si>
    <t>CASE LUJO VX1844</t>
  </si>
  <si>
    <t>CASE LUJO VX2010</t>
  </si>
  <si>
    <t>CASE LUJO VX29</t>
  </si>
  <si>
    <t>CASE LUJO VX3098</t>
  </si>
  <si>
    <t>CASE LUJO VX3411</t>
  </si>
  <si>
    <t>CASE LUJO VX351</t>
  </si>
  <si>
    <t>CASE LUJO VX374</t>
  </si>
  <si>
    <t>CASE LUJO VX376</t>
  </si>
  <si>
    <t>CASE LUJO VX44</t>
  </si>
  <si>
    <t>CASE LUJO VX46</t>
  </si>
  <si>
    <t>CASE LUJO VX5580</t>
  </si>
  <si>
    <t>CASE LUJO VX64</t>
  </si>
  <si>
    <t>CASE LUJO VX80</t>
  </si>
  <si>
    <t>CASE LUJO VX85</t>
  </si>
  <si>
    <t>CASE LUJO VX90</t>
  </si>
  <si>
    <t>CASE LUJO VX94</t>
  </si>
  <si>
    <t>CASE LUJO VX95</t>
  </si>
  <si>
    <t>CASE LUJO VX96</t>
  </si>
  <si>
    <t>CASE LUJO VX97</t>
  </si>
  <si>
    <t>CASE LUJO VX98</t>
  </si>
  <si>
    <t>CASE LUJO VXEJ066</t>
  </si>
  <si>
    <t>CASE LUJO VXJC-34</t>
  </si>
  <si>
    <t>CASE LUJO VXJC010</t>
  </si>
  <si>
    <t>CASE LUJO VXJC40</t>
  </si>
  <si>
    <t>CASE LUJO VXWDF-3</t>
  </si>
  <si>
    <t>CASE LUJO VX8016</t>
  </si>
  <si>
    <t>CASE LUJO VX3002</t>
  </si>
  <si>
    <t>CASE LUJO VX3004</t>
  </si>
  <si>
    <t>CASE LUJO VX3003</t>
  </si>
  <si>
    <t>CASE LUJO VX3007</t>
  </si>
  <si>
    <t>CASE LUJO VX50</t>
  </si>
  <si>
    <t>GEAR MAGSAFE COLORES VX103</t>
  </si>
  <si>
    <t>GEAR MAGSAFE VX63</t>
  </si>
  <si>
    <t>GEAR SIN MAGSAFE VX81</t>
  </si>
  <si>
    <t>GEAR MAGSAFE VX63 CAMARA CERRADA</t>
  </si>
  <si>
    <t>CASE LUJO VX0711</t>
  </si>
  <si>
    <t>CASE LUJO VX066</t>
  </si>
  <si>
    <t>CASE LUJO VX005</t>
  </si>
  <si>
    <t>CASE LUJO VX10304</t>
  </si>
  <si>
    <t xml:space="preserve">CASE LUJO VX09 </t>
  </si>
  <si>
    <t xml:space="preserve">ESTUCHERIA </t>
  </si>
  <si>
    <t xml:space="preserve">CASE LUJO VX066 </t>
  </si>
  <si>
    <t>CASE LUJO VX076</t>
  </si>
  <si>
    <t xml:space="preserve">CASE LUJO VX109 </t>
  </si>
  <si>
    <t>CASE LUJO VX096</t>
  </si>
  <si>
    <t xml:space="preserve">CASE LUJO VX102 </t>
  </si>
  <si>
    <t>CASE LUJO VX99</t>
  </si>
  <si>
    <t>CASE LUJO VX128</t>
  </si>
  <si>
    <t>CASE LUJO VX135</t>
  </si>
  <si>
    <t>CASE LUJO VX91</t>
  </si>
  <si>
    <t>INTERCOMUNICADOR 58</t>
  </si>
  <si>
    <t>TV STICK</t>
  </si>
  <si>
    <t>FIRE TV STICK</t>
  </si>
  <si>
    <t>TVR 3</t>
  </si>
  <si>
    <t>HI GOOGLE 4K CAL</t>
  </si>
  <si>
    <t>TERMO STANLY</t>
  </si>
  <si>
    <t>HOLDER RETROVISOR CARRO 360</t>
  </si>
  <si>
    <t>HOLDER CELULAR BICICLETA M3 360</t>
  </si>
  <si>
    <t>MY-H10 CELULAR MAGNEICO SUCCION</t>
  </si>
  <si>
    <t>HOLDER CELULAR METÁLICO 360 MIGUEL DUQUE</t>
  </si>
  <si>
    <t>HOLDER RETROVISOR CARRO 360 ZM24-011</t>
  </si>
  <si>
    <t>HOLDER AIRE ACONDICIONADO MAGNETICO CARRO 365</t>
  </si>
  <si>
    <t>EXPOPLANETA</t>
  </si>
  <si>
    <t>HOLDER AIRE ACONDICIONADO CARRO JXCH FS2</t>
  </si>
  <si>
    <t>HOLDER CELULAR MAGNETICO SUCCIÓN A2</t>
  </si>
  <si>
    <t>HOLDER CELULAR METÁLICO ESCRITORIO 360</t>
  </si>
  <si>
    <t>HOLDER CELULAR IMÁN MY - CT28</t>
  </si>
  <si>
    <t>RETROVISOR ESPEJO MOTO CAJA VERDE YF10-MT</t>
  </si>
  <si>
    <t>RETROVISOR AUTO BRACKET MOBILE</t>
  </si>
  <si>
    <t>HOLDER TABLET CT-01</t>
  </si>
  <si>
    <t>LAZY BRACKET MOBILE IPHONE</t>
  </si>
  <si>
    <t>CAR HOLDER UNIVERSAL BRACKET 360</t>
  </si>
  <si>
    <t>EASY ONE TOCUCH CAR MOUNT</t>
  </si>
  <si>
    <t>HOLDER SUCCION MAGNETICO APH-19</t>
  </si>
  <si>
    <t>20W IPHONE GENERICA</t>
  </si>
  <si>
    <t>20W IPHONE ORIGINAL</t>
  </si>
  <si>
    <t>ALEX ST</t>
  </si>
  <si>
    <t>25W SAMSUNG GENERICA</t>
  </si>
  <si>
    <t>38W USB KBZ MY CRB 02</t>
  </si>
  <si>
    <t>40W IPHONE ORIGINAL</t>
  </si>
  <si>
    <t>40W IPHONE GENERICA</t>
  </si>
  <si>
    <t>38W USB MY TECHNOLOGY CRB 02</t>
  </si>
  <si>
    <t>45W SAMSUNG GENERICA</t>
  </si>
  <si>
    <t xml:space="preserve">33W TIPO C MOVISUN M-333UC </t>
  </si>
  <si>
    <t>JUAN SANCHEZ</t>
  </si>
  <si>
    <t>65W  TIPO C GAN MINI FAST CHARGER NI</t>
  </si>
  <si>
    <t>68W USB TIPO C MY TECHNOLOGY CRB 03</t>
  </si>
  <si>
    <t xml:space="preserve"> </t>
  </si>
  <si>
    <t>BOMSBOX 3 GRANDE</t>
  </si>
  <si>
    <t>BOMSBOX 3 PEQUEÑO</t>
  </si>
  <si>
    <t>JBL CLIP 5</t>
  </si>
  <si>
    <t>JBL FLIP 7</t>
  </si>
  <si>
    <t>WINK</t>
  </si>
  <si>
    <t>DUAL MAGNETIC - M25</t>
  </si>
  <si>
    <t>T&amp;G 654</t>
  </si>
  <si>
    <t>T&amp;G 695</t>
  </si>
  <si>
    <t>T&amp;G 698</t>
  </si>
  <si>
    <t>X-911</t>
  </si>
  <si>
    <t>PARLANTE MINI PA7845</t>
  </si>
  <si>
    <t>COMBO TECLADO MOUSE TF500 BEMAX</t>
  </si>
  <si>
    <t>MEMORIA USB 128GB</t>
  </si>
  <si>
    <t>MEMORIA USB 16GB</t>
  </si>
  <si>
    <t>MEMORIA USB 32GB</t>
  </si>
  <si>
    <t>MEMORIA USB 4GB</t>
  </si>
  <si>
    <t>MEMORIA USB 64GB</t>
  </si>
  <si>
    <t>MEMORIA USB 8GB</t>
  </si>
  <si>
    <t>MEMORIAS MICRO SD 128GB</t>
  </si>
  <si>
    <t>MEMORIAS MICRO SD 16GB</t>
  </si>
  <si>
    <t>MEMORIAS MICRO SD 32GB</t>
  </si>
  <si>
    <t>MEMORIAS MICRO SD 64GB</t>
  </si>
  <si>
    <t>MEMORIAS MICRO SD 8GB</t>
  </si>
  <si>
    <t>MOUSE GAMER V7</t>
  </si>
  <si>
    <t>MOUSE INALAMBRICO CAS</t>
  </si>
  <si>
    <t>ALEXIS FOCUS</t>
  </si>
  <si>
    <t>DEDALES GAMER</t>
  </si>
  <si>
    <t>MULTIPUERTO USB HUB 3.0</t>
  </si>
  <si>
    <t>MOUSE CABLE S-45</t>
  </si>
  <si>
    <t>17610-1 SOLAR CALL</t>
  </si>
  <si>
    <t>BATERY PACK IPHONE</t>
  </si>
  <si>
    <t>20.000 MAH BEMAX X8603</t>
  </si>
  <si>
    <t>10.000 MAH ECO</t>
  </si>
  <si>
    <t>JAIME BULLS</t>
  </si>
  <si>
    <t>5.000 MAH ANKOB</t>
  </si>
  <si>
    <t>20.000 MAH MAGSAFE BD-W12</t>
  </si>
  <si>
    <t>10.000 MAH MAGSAFE CAJA NARANJA H30C</t>
  </si>
  <si>
    <t>10.000 MAH MAGSAFE MY TECHNOLOGY M026</t>
  </si>
  <si>
    <t>5.000 MAH MOVÍSUN ROCKET</t>
  </si>
  <si>
    <t>10.000 MAH MY TECHNOLOGY PW03</t>
  </si>
  <si>
    <t>20.000 MAH SBY 274</t>
  </si>
  <si>
    <t>10.000 MAH MAGSAFE SP-10</t>
  </si>
  <si>
    <t>5.000 MAH MAGSAFE T2412</t>
  </si>
  <si>
    <t>JULIAN BHS</t>
  </si>
  <si>
    <t>10.000 MAH BM-01</t>
  </si>
  <si>
    <t>BOOST TECH PB-10 13.000MAH</t>
  </si>
  <si>
    <t>MOVISUN 10.000MAH MAGSAFE</t>
  </si>
  <si>
    <t>COMPLETO 17 PRO METAL</t>
  </si>
  <si>
    <t>COMPLETO 17 PRO MAX METAL</t>
  </si>
  <si>
    <t>METALIZADO</t>
  </si>
  <si>
    <t>TRANSPARENTE</t>
  </si>
  <si>
    <t>DIAMANTE</t>
  </si>
  <si>
    <t>ESCARCHADO</t>
  </si>
  <si>
    <t>NEON</t>
  </si>
  <si>
    <t>PREMIUM</t>
  </si>
  <si>
    <t>PASTEL/CANDY</t>
  </si>
  <si>
    <t>SAMSUNG COMPLETO FONDO NEGRO TOP</t>
  </si>
  <si>
    <t>COMPLETO TRANSPARENTE</t>
  </si>
  <si>
    <t>VIDRIO ANTIESPIA</t>
  </si>
  <si>
    <t>VIDRIO ANTIESPIA SIN BORDE</t>
  </si>
  <si>
    <t>VIDRIO BLINDADO/PREMIUM SIN BORDE</t>
  </si>
  <si>
    <t>VIDRIO CURVO</t>
  </si>
  <si>
    <t>VIDRIO DIAMOND</t>
  </si>
  <si>
    <t>LAMINA HIDROGEL ANTIESPIA</t>
  </si>
  <si>
    <t>LAMINA HIDROGEL BRILLANTE</t>
  </si>
  <si>
    <t>LAMINA HIDROGEL MATTE</t>
  </si>
  <si>
    <t>VIDRIO PIRAMIDE</t>
  </si>
  <si>
    <t>VIDRIO BLINDADO/PREMIUM</t>
  </si>
  <si>
    <t>G12 MINI</t>
  </si>
  <si>
    <t>HK10 PRO MAX</t>
  </si>
  <si>
    <t>MYR9 ULTRA 2</t>
  </si>
  <si>
    <t>MINI ULTRA 2 MY TECHNOLOGY</t>
  </si>
  <si>
    <t>MYS9 MINI</t>
  </si>
  <si>
    <t>TX10 PRO MAX</t>
  </si>
  <si>
    <t>X10 MINI 3</t>
  </si>
  <si>
    <t>APPLE WATCH SERIE 10 1.1</t>
  </si>
  <si>
    <t>APPLE WATCH ULTRA 2 1.1</t>
  </si>
  <si>
    <t>C60 ULTRA 3 7+1</t>
  </si>
  <si>
    <t>PEJE G01C</t>
  </si>
  <si>
    <t>HW 68 MINI</t>
  </si>
  <si>
    <t>HW 68 ULTRA MINI</t>
  </si>
  <si>
    <t>SAMSUNG GALAXY WATCH ULTRA 1.1</t>
  </si>
  <si>
    <t>PEJE ZW01</t>
  </si>
  <si>
    <t>PEJE ZW04</t>
  </si>
  <si>
    <t>PEJE ZW10-AMD</t>
  </si>
  <si>
    <t>PEJE ZW13-AMD ( BMAX)</t>
  </si>
  <si>
    <t>Y22 PRO MAX 2 IN 1</t>
  </si>
  <si>
    <t>ACE-50 BIG 2.3</t>
  </si>
  <si>
    <t xml:space="preserve">W10 46MM 10 IN 1 </t>
  </si>
  <si>
    <t>MVP-120+</t>
  </si>
  <si>
    <t>APPLE PECIL USB-C 1.1</t>
  </si>
  <si>
    <t>KIT MOUSE Y KEYBOARD</t>
  </si>
  <si>
    <t>APPLE PENCIL 2 GENERACION 1.1</t>
  </si>
  <si>
    <t>STYLUS PENCIL</t>
  </si>
  <si>
    <t>EVO CRISTAL CASE</t>
  </si>
  <si>
    <t>EVO CRYSTAL FOLIO CASE IPAD A16</t>
  </si>
  <si>
    <t>PENCIL UAG UG-13</t>
  </si>
  <si>
    <t>CASE MILITARY IPAD A16/10TH</t>
  </si>
  <si>
    <t>CASE OTTERBOX IPAD A16/10TH</t>
  </si>
  <si>
    <t>SMARTKEYBOARD CASE REDMI PAD 2 11PULGADAS</t>
  </si>
  <si>
    <t>SMARTKEYBOARD CASE IPAD A16/10TH</t>
  </si>
  <si>
    <t>SMART COVERCASE IPAD A16</t>
  </si>
  <si>
    <t>SMARTKEYBOARD CASE REDMI PAD SE 11PULGADAS</t>
  </si>
  <si>
    <t>SMART COVERCASE REDMI PAD PRO 12.1PULGADAS</t>
  </si>
  <si>
    <t>SMART COVERCASE REDMIPAD SE 11PULGADAS</t>
  </si>
  <si>
    <t>CASE IPAD VX169 REDMIPAD SE 11 PULGADAS</t>
  </si>
  <si>
    <t>IPENS-MAX IGOMA</t>
  </si>
  <si>
    <t>SMART COVERCASE REDMIPAD 2 11PULGADAS</t>
  </si>
  <si>
    <t>SMART COVERCASE SAMSUNG A11 8.7PULGADAS</t>
  </si>
  <si>
    <t>SMART COVERCASE A11 PLUS 11PULGADAS</t>
  </si>
  <si>
    <t>CASE IPAD VX169 A16</t>
  </si>
  <si>
    <t>CASE IPAD VX169 IPAD AIR 11 M3 2024</t>
  </si>
  <si>
    <t>CASE IPAD VX169 IPAD 7TH/8TH/9TH</t>
  </si>
  <si>
    <t>CASE IPAD VX169 IPAD PRO 11/AIR 5/ AIR 4</t>
  </si>
  <si>
    <t>VIDRIO IPAD A16/10TH PENCIL SKETCH FILM</t>
  </si>
  <si>
    <t>VIDRIO BLINDADO IPAD SUPER LARGE ARC</t>
  </si>
  <si>
    <t xml:space="preserve">AYC </t>
  </si>
  <si>
    <t>LÁMPARA ESCRITORIO SACAPUNTAS</t>
  </si>
  <si>
    <t>LÁMPARA ESCRITORIO PORTALAPICES</t>
  </si>
  <si>
    <t>MUNICIÓN HIDROGEL X 5,000</t>
  </si>
  <si>
    <t>BOLSA MUNICIÓN HIDROGEL X 5.000</t>
  </si>
  <si>
    <t>DOJO SPHERE X 40.000 PUFFS</t>
  </si>
  <si>
    <t>SEBAS VAPES</t>
  </si>
  <si>
    <t>BADDIE BAR 15.000</t>
  </si>
  <si>
    <t>WOLF DNA 6.000 PUFFS</t>
  </si>
  <si>
    <t>DUMMY VAPES 8.000 PUFFS</t>
  </si>
  <si>
    <t>SPACEMAN 50.000 PUFFS</t>
  </si>
  <si>
    <t>CONTROL PLAY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</si>
</sst>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* #,##0.00_-;_-&quot;$&quot;* \-#,##0.00_-;_-&quot;$&quot;* &quot;-&quot;??_-;_-@"/>
  </numFmts>
  <fonts count="16">
    <font>
      <sz val="11.0"/>
      <color theme="1"/>
      <name val="Calibri"/>
      <scheme val="minor"/>
    </font>
    <font>
      <sz val="11.0"/>
      <color rgb="FF000000"/>
      <name val="Arial"/>
    </font>
    <font>
      <b/>
      <sz val="10.0"/>
      <color rgb="FFFFFFFF"/>
      <name val="Arial"/>
    </font>
    <font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color rgb="FF000000"/>
      <name val="Calibri"/>
      <scheme val="minor"/>
    </font>
    <font>
      <i/>
      <sz val="9.0"/>
      <color rgb="FF808080"/>
      <name val="Arial"/>
    </font>
    <font>
      <sz val="11.0"/>
      <color theme="1"/>
      <name val="Calibri"/>
    </font>
    <font>
      <sz val="11.0"/>
      <color rgb="FF000000"/>
      <name val="Calibri"/>
      <scheme val="minor"/>
    </font>
    <font>
      <sz val="12.0"/>
      <color rgb="FF000000"/>
      <name val="Calibri"/>
      <scheme val="minor"/>
    </font>
    <font>
      <sz val="10.0"/>
      <color rgb="FF000000"/>
      <name val="Arial"/>
    </font>
    <font>
      <sz val="11.0"/>
      <color rgb="FF000000"/>
      <name val="Calibri"/>
    </font>
    <font>
      <color rgb="FF38761D"/>
      <name val="Calibri"/>
      <scheme val="minor"/>
    </font>
    <font>
      <color rgb="FF111827"/>
      <name val="Calibri"/>
      <scheme val="minor"/>
    </font>
    <font>
      <sz val="10.0"/>
      <color rgb="FF38761D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  <fill>
      <patternFill patternType="solid">
        <fgColor rgb="FF548235"/>
        <bgColor rgb="FF548235"/>
      </patternFill>
    </fill>
    <fill>
      <patternFill patternType="solid">
        <fgColor rgb="FFF1C232"/>
        <bgColor rgb="FFF1C232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left" shrinkToFit="0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wrapText="1"/>
    </xf>
    <xf borderId="1" fillId="4" fontId="2" numFmtId="3" xfId="0" applyAlignment="1" applyBorder="1" applyFill="1" applyFont="1" applyNumberFormat="1">
      <alignment horizontal="center" shrinkToFit="0" vertical="center" wrapText="1"/>
    </xf>
    <xf borderId="1" fillId="5" fontId="5" numFmtId="9" xfId="0" applyBorder="1" applyFill="1" applyFont="1" applyNumberFormat="1"/>
    <xf borderId="1" fillId="6" fontId="2" numFmtId="0" xfId="0" applyAlignment="1" applyBorder="1" applyFill="1" applyFont="1">
      <alignment horizontal="center" readingOrder="0" shrinkToFit="0" vertical="center" wrapText="1"/>
    </xf>
    <xf borderId="0" fillId="0" fontId="6" numFmtId="0" xfId="0" applyFont="1"/>
    <xf borderId="1" fillId="0" fontId="6" numFmtId="0" xfId="0" applyBorder="1" applyFont="1"/>
    <xf borderId="1" fillId="0" fontId="4" numFmtId="164" xfId="0" applyBorder="1" applyFont="1" applyNumberFormat="1"/>
    <xf borderId="1" fillId="0" fontId="4" numFmtId="0" xfId="0" applyAlignment="1" applyBorder="1" applyFont="1">
      <alignment horizontal="center" readingOrder="0"/>
    </xf>
    <xf borderId="0" fillId="0" fontId="7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 shrinkToFit="0" wrapText="1"/>
    </xf>
    <xf borderId="1" fillId="0" fontId="8" numFmtId="164" xfId="0" applyBorder="1" applyFont="1" applyNumberFormat="1"/>
    <xf borderId="0" fillId="0" fontId="9" numFmtId="0" xfId="0" applyFont="1"/>
    <xf borderId="0" fillId="0" fontId="10" numFmtId="0" xfId="0" applyFont="1"/>
    <xf borderId="0" fillId="0" fontId="6" numFmtId="0" xfId="0" applyAlignment="1" applyFont="1">
      <alignment readingOrder="0"/>
    </xf>
    <xf borderId="1" fillId="0" fontId="8" numFmtId="164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readingOrder="0"/>
    </xf>
    <xf borderId="0" fillId="0" fontId="11" numFmtId="0" xfId="0" applyFont="1"/>
    <xf borderId="0" fillId="0" fontId="12" numFmtId="0" xfId="0" applyAlignment="1" applyFont="1">
      <alignment vertical="bottom"/>
    </xf>
    <xf borderId="2" fillId="0" fontId="6" numFmtId="0" xfId="0" applyBorder="1" applyFont="1"/>
    <xf borderId="2" fillId="0" fontId="9" numFmtId="0" xfId="0" applyBorder="1" applyFont="1"/>
    <xf borderId="0" fillId="0" fontId="12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bottom"/>
    </xf>
    <xf borderId="0" fillId="0" fontId="13" numFmtId="0" xfId="0" applyFont="1"/>
    <xf borderId="0" fillId="0" fontId="14" numFmtId="0" xfId="0" applyAlignment="1" applyFont="1">
      <alignment readingOrder="0"/>
    </xf>
    <xf borderId="1" fillId="0" fontId="8" numFmtId="3" xfId="0" applyBorder="1" applyFont="1" applyNumberFormat="1"/>
    <xf borderId="1" fillId="0" fontId="3" numFmtId="164" xfId="0" applyAlignment="1" applyBorder="1" applyFont="1" applyNumberFormat="1">
      <alignment readingOrder="0"/>
    </xf>
    <xf borderId="0" fillId="0" fontId="12" numFmtId="0" xfId="0" applyFont="1"/>
    <xf borderId="1" fillId="0" fontId="12" numFmtId="0" xfId="0" applyBorder="1" applyFont="1"/>
    <xf borderId="1" fillId="0" fontId="12" numFmtId="164" xfId="0" applyBorder="1" applyFont="1" applyNumberFormat="1"/>
    <xf borderId="1" fillId="0" fontId="11" numFmtId="164" xfId="0" applyBorder="1" applyFont="1" applyNumberFormat="1"/>
    <xf borderId="0" fillId="0" fontId="4" numFmtId="164" xfId="0" applyFont="1" applyNumberFormat="1"/>
    <xf borderId="1" fillId="0" fontId="3" numFmtId="164" xfId="0" applyBorder="1" applyFont="1" applyNumberFormat="1"/>
    <xf borderId="1" fillId="0" fontId="4" numFmtId="3" xfId="0" applyBorder="1" applyFont="1" applyNumberFormat="1"/>
    <xf borderId="0" fillId="0" fontId="3" numFmtId="164" xfId="0" applyFont="1" applyNumberFormat="1"/>
    <xf borderId="0" fillId="0" fontId="8" numFmtId="3" xfId="0" applyFont="1" applyNumberFormat="1"/>
    <xf borderId="0" fillId="0" fontId="0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Font="1"/>
    <xf borderId="0" fillId="0" fontId="12" numFmtId="164" xfId="0" applyFont="1" applyNumberFormat="1"/>
    <xf borderId="0" fillId="0" fontId="8" numFmtId="164" xfId="0" applyFont="1" applyNumberFormat="1"/>
    <xf borderId="0" fillId="0" fontId="0" numFmtId="164" xfId="0" applyFont="1" applyNumberFormat="1"/>
    <xf borderId="0" fillId="0" fontId="15" numFmtId="164" xfId="0" applyFont="1" applyNumberFormat="1"/>
    <xf borderId="1" fillId="0" fontId="9" numFmtId="0" xfId="0" applyBorder="1" applyFont="1"/>
    <xf borderId="1" fillId="0" fontId="14" numFmtId="0" xfId="0" applyAlignment="1" applyBorder="1" applyFont="1">
      <alignment readingOrder="0"/>
    </xf>
    <xf borderId="0" fillId="0" fontId="3" numFmtId="164" xfId="0" applyAlignment="1" applyFont="1" applyNumberFormat="1">
      <alignment readingOrder="0"/>
    </xf>
    <xf borderId="0" fillId="0" fontId="0" numFmtId="0" xfId="0" applyFont="1"/>
    <xf borderId="0" fillId="0" fontId="4" numFmtId="164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2.0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86"/>
    <col customWidth="1" min="2" max="3" width="20.14"/>
    <col customWidth="1" min="4" max="4" width="12.57"/>
    <col customWidth="1" min="5" max="5" width="8.71"/>
    <col customWidth="1" min="6" max="6" width="17.71"/>
    <col customWidth="1" min="7" max="7" width="12.0"/>
    <col customWidth="1" min="8" max="8" width="28.43"/>
    <col customWidth="1" min="9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F1" s="2" t="s">
        <v>5</v>
      </c>
      <c r="G1" s="2" t="s">
        <v>6</v>
      </c>
    </row>
    <row r="2" ht="14.25" customHeight="1">
      <c r="A2" s="3" t="s">
        <v>7</v>
      </c>
      <c r="B2" s="4" t="s">
        <v>8</v>
      </c>
      <c r="C2" s="4">
        <v>16.0</v>
      </c>
      <c r="D2" s="5"/>
      <c r="E2" s="3" t="str">
        <f t="shared" ref="E2:E24" si="1">UPPER(A2)</f>
        <v>ACCESORIOS APPLE WATCH</v>
      </c>
      <c r="F2" s="8"/>
      <c r="G2" s="10">
        <v>0.19</v>
      </c>
      <c r="H2" s="3" t="s">
        <v>7</v>
      </c>
      <c r="I2" s="3" t="b">
        <f t="shared" ref="I2:I24" si="2">H2=A2</f>
        <v>1</v>
      </c>
    </row>
    <row r="3" ht="14.25" customHeight="1">
      <c r="A3" s="3" t="s">
        <v>18</v>
      </c>
      <c r="B3" s="15">
        <v>33.0</v>
      </c>
      <c r="C3" s="15">
        <v>23.0</v>
      </c>
      <c r="D3" s="5"/>
      <c r="E3" s="3" t="str">
        <f t="shared" si="1"/>
        <v>ACCESORIOS TELEFONIA</v>
      </c>
      <c r="F3" s="16" t="s">
        <v>19</v>
      </c>
      <c r="H3" s="3" t="s">
        <v>18</v>
      </c>
      <c r="I3" s="3" t="b">
        <f t="shared" si="2"/>
        <v>1</v>
      </c>
    </row>
    <row r="4" ht="14.25" customHeight="1">
      <c r="A4" s="3" t="s">
        <v>20</v>
      </c>
      <c r="B4" s="4" t="s">
        <v>21</v>
      </c>
      <c r="C4" s="4">
        <v>1.0</v>
      </c>
      <c r="D4" s="5"/>
      <c r="E4" s="3" t="str">
        <f t="shared" si="1"/>
        <v>AUDIFONOS</v>
      </c>
      <c r="H4" s="3" t="s">
        <v>20</v>
      </c>
      <c r="I4" s="3" t="b">
        <f t="shared" si="2"/>
        <v>1</v>
      </c>
    </row>
    <row r="5" ht="14.25" customHeight="1">
      <c r="A5" s="3" t="s">
        <v>22</v>
      </c>
      <c r="B5" s="4" t="s">
        <v>23</v>
      </c>
      <c r="C5" s="4">
        <v>7.0</v>
      </c>
      <c r="D5" s="5"/>
      <c r="E5" s="3" t="str">
        <f t="shared" si="1"/>
        <v>CABLES</v>
      </c>
      <c r="H5" s="3" t="s">
        <v>22</v>
      </c>
      <c r="I5" s="3" t="b">
        <f t="shared" si="2"/>
        <v>1</v>
      </c>
    </row>
    <row r="6" ht="14.25" customHeight="1">
      <c r="A6" s="3" t="s">
        <v>24</v>
      </c>
      <c r="B6" s="4" t="s">
        <v>25</v>
      </c>
      <c r="C6" s="4">
        <v>11.0</v>
      </c>
      <c r="D6" s="5"/>
      <c r="E6" s="3" t="str">
        <f t="shared" si="1"/>
        <v>CARGADORES</v>
      </c>
      <c r="H6" s="3" t="s">
        <v>24</v>
      </c>
      <c r="I6" s="3" t="b">
        <f t="shared" si="2"/>
        <v>1</v>
      </c>
    </row>
    <row r="7" ht="14.25" customHeight="1">
      <c r="A7" s="17" t="s">
        <v>26</v>
      </c>
      <c r="B7" s="4" t="s">
        <v>27</v>
      </c>
      <c r="C7" s="4">
        <v>8.0</v>
      </c>
      <c r="D7" s="5"/>
      <c r="E7" s="3" t="str">
        <f t="shared" si="1"/>
        <v>CARGADOR DE CARRO</v>
      </c>
      <c r="H7" s="3" t="s">
        <v>26</v>
      </c>
      <c r="I7" s="3" t="b">
        <f t="shared" si="2"/>
        <v>1</v>
      </c>
    </row>
    <row r="8" ht="14.25" customHeight="1">
      <c r="A8" s="3" t="s">
        <v>28</v>
      </c>
      <c r="B8" s="4" t="s">
        <v>29</v>
      </c>
      <c r="C8" s="4">
        <v>5.0</v>
      </c>
      <c r="D8" s="5"/>
      <c r="E8" s="3" t="str">
        <f t="shared" si="1"/>
        <v>COMBOS</v>
      </c>
      <c r="H8" s="3" t="s">
        <v>28</v>
      </c>
      <c r="I8" s="3" t="b">
        <f t="shared" si="2"/>
        <v>1</v>
      </c>
    </row>
    <row r="9" ht="14.25" customHeight="1">
      <c r="A9" s="3" t="s">
        <v>30</v>
      </c>
      <c r="B9" s="4" t="s">
        <v>32</v>
      </c>
      <c r="C9" s="4">
        <v>15.0</v>
      </c>
      <c r="D9" s="5"/>
      <c r="E9" s="3" t="str">
        <f t="shared" si="1"/>
        <v>CREACION DE CONTENIDO</v>
      </c>
      <c r="H9" s="3" t="s">
        <v>30</v>
      </c>
      <c r="I9" s="3" t="b">
        <f t="shared" si="2"/>
        <v>1</v>
      </c>
    </row>
    <row r="10" ht="14.25" customHeight="1">
      <c r="A10" s="3" t="s">
        <v>34</v>
      </c>
      <c r="B10" s="4" t="s">
        <v>35</v>
      </c>
      <c r="C10" s="4">
        <v>2.0</v>
      </c>
      <c r="D10" s="5"/>
      <c r="E10" s="3" t="str">
        <f t="shared" si="1"/>
        <v>DIADEMAS</v>
      </c>
      <c r="H10" s="3" t="s">
        <v>34</v>
      </c>
      <c r="I10" s="3" t="b">
        <f t="shared" si="2"/>
        <v>1</v>
      </c>
    </row>
    <row r="11" ht="14.25" customHeight="1">
      <c r="A11" s="3" t="s">
        <v>37</v>
      </c>
      <c r="B11" s="4" t="s">
        <v>38</v>
      </c>
      <c r="C11" s="4">
        <v>14.0</v>
      </c>
      <c r="D11" s="5"/>
      <c r="E11" s="3" t="str">
        <f t="shared" si="1"/>
        <v>ESTUCHERIA</v>
      </c>
      <c r="H11" s="3" t="s">
        <v>37</v>
      </c>
      <c r="I11" s="3" t="b">
        <f t="shared" si="2"/>
        <v>1</v>
      </c>
    </row>
    <row r="12" ht="14.25" customHeight="1">
      <c r="A12" s="3" t="s">
        <v>42</v>
      </c>
      <c r="B12" s="15">
        <v>32.0</v>
      </c>
      <c r="C12" s="15">
        <v>22.0</v>
      </c>
      <c r="D12" s="5"/>
      <c r="E12" s="3" t="str">
        <f t="shared" si="1"/>
        <v>FUERA DE LINEA</v>
      </c>
      <c r="H12" s="3" t="s">
        <v>42</v>
      </c>
      <c r="I12" s="3" t="b">
        <f t="shared" si="2"/>
        <v>1</v>
      </c>
    </row>
    <row r="13" ht="14.25" customHeight="1">
      <c r="A13" s="3" t="s">
        <v>43</v>
      </c>
      <c r="B13" s="4" t="s">
        <v>44</v>
      </c>
      <c r="C13" s="4">
        <v>9.0</v>
      </c>
      <c r="D13" s="5"/>
      <c r="E13" s="3" t="str">
        <f t="shared" si="1"/>
        <v>HOLDER</v>
      </c>
      <c r="H13" s="3" t="s">
        <v>43</v>
      </c>
      <c r="I13" s="3" t="b">
        <f t="shared" si="2"/>
        <v>1</v>
      </c>
    </row>
    <row r="14" ht="14.25" customHeight="1">
      <c r="A14" s="3" t="s">
        <v>45</v>
      </c>
      <c r="B14" s="4" t="s">
        <v>46</v>
      </c>
      <c r="C14" s="4">
        <v>12.0</v>
      </c>
      <c r="D14" s="5"/>
      <c r="E14" s="3" t="str">
        <f t="shared" si="1"/>
        <v>PACHAS</v>
      </c>
      <c r="H14" s="3" t="s">
        <v>45</v>
      </c>
      <c r="I14" s="3" t="b">
        <f t="shared" si="2"/>
        <v>1</v>
      </c>
    </row>
    <row r="15" ht="14.25" customHeight="1">
      <c r="A15" s="3" t="s">
        <v>47</v>
      </c>
      <c r="B15" s="4" t="s">
        <v>48</v>
      </c>
      <c r="C15" s="4">
        <v>3.0</v>
      </c>
      <c r="D15" s="5"/>
      <c r="E15" s="3" t="str">
        <f t="shared" si="1"/>
        <v>PARLANTES</v>
      </c>
      <c r="H15" s="3" t="s">
        <v>47</v>
      </c>
      <c r="I15" s="3" t="b">
        <f t="shared" si="2"/>
        <v>1</v>
      </c>
    </row>
    <row r="16" ht="14.25" customHeight="1">
      <c r="A16" s="3" t="s">
        <v>49</v>
      </c>
      <c r="B16" s="4" t="s">
        <v>50</v>
      </c>
      <c r="C16" s="4">
        <v>10.0</v>
      </c>
      <c r="D16" s="5"/>
      <c r="E16" s="3" t="str">
        <f t="shared" si="1"/>
        <v>PC</v>
      </c>
      <c r="H16" s="3" t="s">
        <v>49</v>
      </c>
      <c r="I16" s="3" t="b">
        <f t="shared" si="2"/>
        <v>1</v>
      </c>
    </row>
    <row r="17" ht="14.25" customHeight="1">
      <c r="A17" s="3" t="s">
        <v>53</v>
      </c>
      <c r="B17" s="4" t="s">
        <v>54</v>
      </c>
      <c r="C17" s="4">
        <v>13.0</v>
      </c>
      <c r="D17" s="5"/>
      <c r="E17" s="3" t="str">
        <f t="shared" si="1"/>
        <v>POWERBANK</v>
      </c>
      <c r="H17" s="3" t="s">
        <v>53</v>
      </c>
      <c r="I17" s="3" t="b">
        <f t="shared" si="2"/>
        <v>1</v>
      </c>
    </row>
    <row r="18" ht="14.25" customHeight="1">
      <c r="A18" s="3" t="s">
        <v>56</v>
      </c>
      <c r="B18" s="4" t="s">
        <v>57</v>
      </c>
      <c r="C18" s="4">
        <v>20.0</v>
      </c>
      <c r="D18" s="5"/>
      <c r="E18" s="3" t="str">
        <f t="shared" si="1"/>
        <v>PROTECTORES CAMARA</v>
      </c>
      <c r="H18" s="3" t="s">
        <v>56</v>
      </c>
      <c r="I18" s="3" t="b">
        <f t="shared" si="2"/>
        <v>1</v>
      </c>
    </row>
    <row r="19" ht="14.25" customHeight="1">
      <c r="A19" s="3" t="s">
        <v>61</v>
      </c>
      <c r="B19" s="4" t="s">
        <v>62</v>
      </c>
      <c r="C19" s="4">
        <v>17.0</v>
      </c>
      <c r="D19" s="5"/>
      <c r="E19" s="3" t="str">
        <f t="shared" si="1"/>
        <v>PROTECTORES PANTALLA</v>
      </c>
      <c r="H19" s="3" t="s">
        <v>61</v>
      </c>
      <c r="I19" s="3" t="b">
        <f t="shared" si="2"/>
        <v>1</v>
      </c>
    </row>
    <row r="20" ht="14.25" customHeight="1">
      <c r="A20" s="3" t="s">
        <v>64</v>
      </c>
      <c r="B20" s="4" t="s">
        <v>65</v>
      </c>
      <c r="C20" s="4">
        <v>4.0</v>
      </c>
      <c r="D20" s="5"/>
      <c r="E20" s="3" t="str">
        <f t="shared" si="1"/>
        <v>SMARTWATCH</v>
      </c>
      <c r="H20" s="3" t="s">
        <v>64</v>
      </c>
      <c r="I20" s="3" t="b">
        <f t="shared" si="2"/>
        <v>1</v>
      </c>
    </row>
    <row r="21" ht="14.25" customHeight="1">
      <c r="A21" s="3" t="s">
        <v>68</v>
      </c>
      <c r="B21" s="4" t="s">
        <v>69</v>
      </c>
      <c r="C21" s="4">
        <v>6.0</v>
      </c>
      <c r="D21" s="5"/>
      <c r="E21" s="3" t="str">
        <f t="shared" si="1"/>
        <v>TABLETS</v>
      </c>
      <c r="H21" s="3" t="s">
        <v>68</v>
      </c>
      <c r="I21" s="3" t="b">
        <f t="shared" si="2"/>
        <v>1</v>
      </c>
    </row>
    <row r="22" ht="14.25" customHeight="1">
      <c r="A22" s="3" t="s">
        <v>71</v>
      </c>
      <c r="B22" s="4" t="s">
        <v>72</v>
      </c>
      <c r="C22" s="4">
        <v>18.0</v>
      </c>
      <c r="D22" s="5"/>
      <c r="E22" s="3" t="str">
        <f t="shared" si="1"/>
        <v>TEMPORADA</v>
      </c>
      <c r="H22" s="3" t="s">
        <v>71</v>
      </c>
      <c r="I22" s="3" t="b">
        <f t="shared" si="2"/>
        <v>1</v>
      </c>
    </row>
    <row r="23" ht="14.25" customHeight="1">
      <c r="A23" s="3" t="s">
        <v>75</v>
      </c>
      <c r="B23" s="15">
        <v>31.0</v>
      </c>
      <c r="C23" s="15">
        <v>21.0</v>
      </c>
      <c r="D23" s="5"/>
      <c r="E23" s="3" t="str">
        <f t="shared" si="1"/>
        <v>VAPORIZADORES</v>
      </c>
      <c r="H23" s="3" t="s">
        <v>75</v>
      </c>
      <c r="I23" s="3" t="b">
        <f t="shared" si="2"/>
        <v>1</v>
      </c>
    </row>
    <row r="24" ht="14.25" customHeight="1">
      <c r="A24" s="3" t="s">
        <v>78</v>
      </c>
      <c r="B24" s="18" t="s">
        <v>79</v>
      </c>
      <c r="C24" s="18">
        <v>19.0</v>
      </c>
      <c r="D24" s="19"/>
      <c r="E24" s="3" t="str">
        <f t="shared" si="1"/>
        <v>VIDEOJUEGOS Y CONSOLAS</v>
      </c>
      <c r="H24" s="3" t="s">
        <v>78</v>
      </c>
      <c r="I24" s="3" t="b">
        <f t="shared" si="2"/>
        <v>1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>
      <c r="A30" s="3" t="s">
        <v>7</v>
      </c>
    </row>
    <row r="31" ht="14.25" customHeight="1">
      <c r="A31" s="3" t="s">
        <v>18</v>
      </c>
    </row>
    <row r="32" ht="14.25" customHeight="1">
      <c r="A32" s="3" t="s">
        <v>20</v>
      </c>
    </row>
    <row r="33" ht="14.25" customHeight="1">
      <c r="A33" s="3" t="s">
        <v>22</v>
      </c>
    </row>
    <row r="34" ht="14.25" customHeight="1">
      <c r="A34" s="3" t="s">
        <v>26</v>
      </c>
    </row>
    <row r="35" ht="14.25" customHeight="1">
      <c r="A35" s="3" t="s">
        <v>24</v>
      </c>
    </row>
    <row r="36" ht="14.25" customHeight="1">
      <c r="A36" s="3" t="s">
        <v>28</v>
      </c>
    </row>
    <row r="37" ht="14.25" customHeight="1">
      <c r="A37" s="3" t="s">
        <v>30</v>
      </c>
    </row>
    <row r="38" ht="14.25" customHeight="1">
      <c r="A38" s="3" t="s">
        <v>34</v>
      </c>
    </row>
    <row r="39" ht="14.25" customHeight="1">
      <c r="A39" s="3" t="s">
        <v>37</v>
      </c>
    </row>
    <row r="40" ht="14.25" customHeight="1">
      <c r="A40" s="3" t="s">
        <v>42</v>
      </c>
    </row>
    <row r="41" ht="14.25" customHeight="1">
      <c r="A41" s="3" t="s">
        <v>43</v>
      </c>
    </row>
    <row r="42" ht="14.25" customHeight="1">
      <c r="A42" s="3" t="s">
        <v>45</v>
      </c>
    </row>
    <row r="43" ht="14.25" customHeight="1">
      <c r="A43" s="3" t="s">
        <v>47</v>
      </c>
    </row>
    <row r="44" ht="14.25" customHeight="1">
      <c r="A44" s="3" t="s">
        <v>49</v>
      </c>
    </row>
    <row r="45" ht="14.25" customHeight="1">
      <c r="A45" s="3" t="s">
        <v>53</v>
      </c>
    </row>
    <row r="46" ht="14.25" customHeight="1">
      <c r="A46" s="3" t="s">
        <v>56</v>
      </c>
    </row>
    <row r="47" ht="14.25" customHeight="1">
      <c r="A47" s="3" t="s">
        <v>61</v>
      </c>
    </row>
    <row r="48" ht="14.25" customHeight="1">
      <c r="A48" s="3" t="s">
        <v>64</v>
      </c>
    </row>
    <row r="49" ht="14.25" customHeight="1">
      <c r="A49" s="3" t="s">
        <v>68</v>
      </c>
    </row>
    <row r="50" ht="14.25" customHeight="1">
      <c r="A50" s="3" t="s">
        <v>71</v>
      </c>
    </row>
    <row r="51" ht="14.25" customHeight="1">
      <c r="A51" s="3" t="s">
        <v>75</v>
      </c>
    </row>
    <row r="52" ht="14.25" customHeight="1">
      <c r="A52" s="3" t="s">
        <v>78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autoFilter ref="$A$29:$A$52">
    <sortState ref="A29:A52">
      <sortCondition ref="A29:A52"/>
    </sortState>
  </autoFilter>
  <mergeCells count="1">
    <mergeCell ref="F3:G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43"/>
    <col customWidth="1" min="2" max="2" width="45.71"/>
    <col customWidth="1" hidden="1" min="3" max="3" width="14.43"/>
    <col customWidth="1" hidden="1" min="4" max="4" width="20.14"/>
    <col customWidth="1" min="5" max="5" width="16.57"/>
    <col customWidth="1" min="6" max="6" width="17.43"/>
    <col customWidth="1" min="7" max="7" width="18.43"/>
    <col customWidth="1" min="8" max="17" width="8.71"/>
  </cols>
  <sheetData>
    <row r="1" ht="31.5" customHeight="1">
      <c r="A1" s="6" t="s">
        <v>9</v>
      </c>
      <c r="B1" s="7" t="s">
        <v>10</v>
      </c>
      <c r="C1" s="7" t="s">
        <v>11</v>
      </c>
      <c r="D1" s="9" t="s">
        <v>12</v>
      </c>
      <c r="E1" s="6" t="s">
        <v>13</v>
      </c>
      <c r="F1" s="11" t="s">
        <v>14</v>
      </c>
      <c r="G1" s="6" t="s">
        <v>15</v>
      </c>
    </row>
    <row r="2" ht="14.25" hidden="1" customHeight="1">
      <c r="A2" s="12" t="s">
        <v>7</v>
      </c>
      <c r="B2" s="13" t="s">
        <v>16</v>
      </c>
      <c r="C2" s="12" t="s">
        <v>17</v>
      </c>
      <c r="D2" s="14">
        <v>4600.0</v>
      </c>
      <c r="E2" s="14">
        <v>7000.0</v>
      </c>
      <c r="F2" s="14">
        <f t="shared" ref="F2:F26" si="1">ROUND(D2+(D2*0.25),-2)</f>
        <v>5800</v>
      </c>
      <c r="G2" s="14">
        <v>9000.0</v>
      </c>
    </row>
    <row r="3" ht="14.25" hidden="1" customHeight="1">
      <c r="A3" s="12" t="s">
        <v>7</v>
      </c>
      <c r="B3" s="13" t="s">
        <v>31</v>
      </c>
      <c r="C3" s="12" t="s">
        <v>17</v>
      </c>
      <c r="D3" s="14">
        <v>4600.0</v>
      </c>
      <c r="E3" s="14">
        <v>7000.0</v>
      </c>
      <c r="F3" s="14">
        <f t="shared" si="1"/>
        <v>5800</v>
      </c>
      <c r="G3" s="14">
        <v>9000.0</v>
      </c>
    </row>
    <row r="4" ht="14.25" hidden="1" customHeight="1">
      <c r="A4" s="12" t="s">
        <v>7</v>
      </c>
      <c r="B4" s="13" t="s">
        <v>33</v>
      </c>
      <c r="C4" s="12" t="s">
        <v>17</v>
      </c>
      <c r="D4" s="14">
        <v>4600.0</v>
      </c>
      <c r="E4" s="14">
        <v>7000.0</v>
      </c>
      <c r="F4" s="14">
        <f t="shared" si="1"/>
        <v>5800</v>
      </c>
      <c r="G4" s="14">
        <v>9000.0</v>
      </c>
    </row>
    <row r="5" ht="14.25" hidden="1" customHeight="1">
      <c r="A5" s="12" t="s">
        <v>7</v>
      </c>
      <c r="B5" s="13" t="s">
        <v>36</v>
      </c>
      <c r="C5" s="12" t="s">
        <v>17</v>
      </c>
      <c r="D5" s="14">
        <v>4800.0</v>
      </c>
      <c r="E5" s="14">
        <v>8000.0</v>
      </c>
      <c r="F5" s="14">
        <f t="shared" si="1"/>
        <v>6000</v>
      </c>
      <c r="G5" s="14">
        <v>10000.0</v>
      </c>
    </row>
    <row r="6" ht="14.25" hidden="1" customHeight="1">
      <c r="A6" s="12" t="s">
        <v>7</v>
      </c>
      <c r="B6" s="13" t="s">
        <v>39</v>
      </c>
      <c r="C6" s="12" t="s">
        <v>40</v>
      </c>
      <c r="D6" s="14">
        <v>3100.0</v>
      </c>
      <c r="E6" s="14">
        <v>5000.0</v>
      </c>
      <c r="F6" s="14">
        <f t="shared" si="1"/>
        <v>3900</v>
      </c>
      <c r="G6" s="14">
        <v>6000.0</v>
      </c>
    </row>
    <row r="7" ht="14.25" hidden="1" customHeight="1">
      <c r="A7" s="12" t="s">
        <v>7</v>
      </c>
      <c r="B7" s="12" t="s">
        <v>41</v>
      </c>
      <c r="C7" s="12" t="s">
        <v>17</v>
      </c>
      <c r="D7" s="14">
        <v>3100.0</v>
      </c>
      <c r="E7" s="14">
        <v>5000.0</v>
      </c>
      <c r="F7" s="14">
        <f t="shared" si="1"/>
        <v>3900</v>
      </c>
      <c r="G7" s="14">
        <v>6000.0</v>
      </c>
    </row>
    <row r="8" ht="14.25" hidden="1" customHeight="1">
      <c r="A8" s="12" t="s">
        <v>7</v>
      </c>
      <c r="B8" s="12" t="s">
        <v>51</v>
      </c>
      <c r="C8" s="12" t="s">
        <v>52</v>
      </c>
      <c r="D8" s="14">
        <v>10000.0</v>
      </c>
      <c r="E8" s="14">
        <v>16000.0</v>
      </c>
      <c r="F8" s="14">
        <f t="shared" si="1"/>
        <v>12500</v>
      </c>
      <c r="G8" s="14">
        <v>20000.0</v>
      </c>
    </row>
    <row r="9" ht="14.25" hidden="1" customHeight="1">
      <c r="A9" s="12" t="s">
        <v>7</v>
      </c>
      <c r="B9" s="12" t="s">
        <v>55</v>
      </c>
      <c r="C9" s="12" t="s">
        <v>40</v>
      </c>
      <c r="D9" s="14">
        <v>3100.0</v>
      </c>
      <c r="E9" s="14">
        <v>5000.0</v>
      </c>
      <c r="F9" s="14">
        <f t="shared" si="1"/>
        <v>3900</v>
      </c>
      <c r="G9" s="14">
        <v>6000.0</v>
      </c>
    </row>
    <row r="10" ht="14.25" hidden="1" customHeight="1">
      <c r="A10" s="12" t="s">
        <v>7</v>
      </c>
      <c r="B10" s="12" t="s">
        <v>58</v>
      </c>
      <c r="C10" s="12" t="s">
        <v>17</v>
      </c>
      <c r="D10" s="14">
        <v>4400.0</v>
      </c>
      <c r="E10" s="14">
        <v>7000.0</v>
      </c>
      <c r="F10" s="14">
        <f t="shared" si="1"/>
        <v>5500</v>
      </c>
      <c r="G10" s="14">
        <v>9000.0</v>
      </c>
    </row>
    <row r="11" ht="14.25" hidden="1" customHeight="1">
      <c r="A11" s="12" t="s">
        <v>7</v>
      </c>
      <c r="B11" s="12" t="s">
        <v>59</v>
      </c>
      <c r="C11" s="12" t="s">
        <v>60</v>
      </c>
      <c r="D11" s="14">
        <v>5000.0</v>
      </c>
      <c r="E11" s="14">
        <v>8000.0</v>
      </c>
      <c r="F11" s="14">
        <f t="shared" si="1"/>
        <v>6300</v>
      </c>
      <c r="G11" s="14">
        <v>10000.0</v>
      </c>
    </row>
    <row r="12" ht="17.25" hidden="1" customHeight="1">
      <c r="A12" s="12" t="s">
        <v>7</v>
      </c>
      <c r="B12" s="12" t="s">
        <v>63</v>
      </c>
      <c r="C12" s="12" t="s">
        <v>40</v>
      </c>
      <c r="D12" s="14">
        <v>3100.0</v>
      </c>
      <c r="E12" s="14">
        <v>5000.0</v>
      </c>
      <c r="F12" s="14">
        <f t="shared" si="1"/>
        <v>3900</v>
      </c>
      <c r="G12" s="14">
        <v>6000.0</v>
      </c>
    </row>
    <row r="13" ht="14.25" hidden="1" customHeight="1">
      <c r="A13" s="12" t="s">
        <v>7</v>
      </c>
      <c r="B13" s="12" t="s">
        <v>66</v>
      </c>
      <c r="C13" s="12" t="s">
        <v>17</v>
      </c>
      <c r="D13" s="14">
        <v>9400.0</v>
      </c>
      <c r="E13" s="14">
        <v>15000.0</v>
      </c>
      <c r="F13" s="14">
        <f t="shared" si="1"/>
        <v>11800</v>
      </c>
      <c r="G13" s="14">
        <v>19000.0</v>
      </c>
    </row>
    <row r="14" ht="14.25" hidden="1" customHeight="1">
      <c r="A14" s="12" t="s">
        <v>7</v>
      </c>
      <c r="B14" s="12" t="s">
        <v>67</v>
      </c>
      <c r="C14" s="12" t="s">
        <v>17</v>
      </c>
      <c r="D14" s="14">
        <v>3100.0</v>
      </c>
      <c r="E14" s="14">
        <v>5000.0</v>
      </c>
      <c r="F14" s="14">
        <f t="shared" si="1"/>
        <v>3900</v>
      </c>
      <c r="G14" s="14">
        <v>6000.0</v>
      </c>
    </row>
    <row r="15" ht="14.25" hidden="1" customHeight="1">
      <c r="A15" s="12" t="s">
        <v>7</v>
      </c>
      <c r="B15" s="12" t="s">
        <v>70</v>
      </c>
      <c r="C15" s="12" t="s">
        <v>40</v>
      </c>
      <c r="D15" s="14">
        <v>3100.0</v>
      </c>
      <c r="E15" s="14">
        <v>5000.0</v>
      </c>
      <c r="F15" s="14">
        <f t="shared" si="1"/>
        <v>3900</v>
      </c>
      <c r="G15" s="14">
        <v>6000.0</v>
      </c>
    </row>
    <row r="16" ht="14.25" hidden="1" customHeight="1">
      <c r="A16" s="12" t="s">
        <v>7</v>
      </c>
      <c r="B16" s="12" t="s">
        <v>73</v>
      </c>
      <c r="C16" s="12" t="s">
        <v>74</v>
      </c>
      <c r="D16" s="14">
        <v>11900.0</v>
      </c>
      <c r="E16" s="14">
        <v>19000.0</v>
      </c>
      <c r="F16" s="14">
        <f t="shared" si="1"/>
        <v>14900</v>
      </c>
      <c r="G16" s="14">
        <v>24000.0</v>
      </c>
    </row>
    <row r="17" ht="14.25" hidden="1" customHeight="1">
      <c r="A17" s="12" t="s">
        <v>7</v>
      </c>
      <c r="B17" s="12" t="s">
        <v>76</v>
      </c>
      <c r="C17" s="12" t="s">
        <v>17</v>
      </c>
      <c r="D17" s="14">
        <v>4600.0</v>
      </c>
      <c r="E17" s="14">
        <v>7000.0</v>
      </c>
      <c r="F17" s="14">
        <f t="shared" si="1"/>
        <v>5800</v>
      </c>
      <c r="G17" s="14">
        <v>9000.0</v>
      </c>
    </row>
    <row r="18" ht="14.25" hidden="1" customHeight="1">
      <c r="A18" s="12" t="s">
        <v>7</v>
      </c>
      <c r="B18" s="12" t="s">
        <v>77</v>
      </c>
      <c r="C18" s="12" t="s">
        <v>17</v>
      </c>
      <c r="D18" s="14">
        <v>6300.0</v>
      </c>
      <c r="E18" s="14">
        <v>10000.0</v>
      </c>
      <c r="F18" s="14">
        <f t="shared" si="1"/>
        <v>7900</v>
      </c>
      <c r="G18" s="14">
        <v>13000.0</v>
      </c>
    </row>
    <row r="19" ht="14.25" hidden="1" customHeight="1">
      <c r="A19" s="12" t="s">
        <v>7</v>
      </c>
      <c r="B19" s="12" t="s">
        <v>80</v>
      </c>
      <c r="C19" s="12" t="s">
        <v>17</v>
      </c>
      <c r="D19" s="14">
        <v>6300.0</v>
      </c>
      <c r="E19" s="14">
        <v>10000.0</v>
      </c>
      <c r="F19" s="14">
        <f t="shared" si="1"/>
        <v>7900</v>
      </c>
      <c r="G19" s="14">
        <v>13000.0</v>
      </c>
    </row>
    <row r="20" ht="14.25" hidden="1" customHeight="1">
      <c r="A20" s="12" t="s">
        <v>18</v>
      </c>
      <c r="B20" s="12" t="s">
        <v>81</v>
      </c>
      <c r="C20" s="12" t="s">
        <v>17</v>
      </c>
      <c r="D20" s="20">
        <v>2500.0</v>
      </c>
      <c r="E20" s="14">
        <v>4000.0</v>
      </c>
      <c r="F20" s="14">
        <f t="shared" si="1"/>
        <v>3100</v>
      </c>
      <c r="G20" s="14">
        <v>5000.0</v>
      </c>
    </row>
    <row r="21" ht="14.25" hidden="1" customHeight="1">
      <c r="A21" s="12" t="s">
        <v>18</v>
      </c>
      <c r="B21" s="12" t="s">
        <v>82</v>
      </c>
      <c r="C21" s="12" t="s">
        <v>17</v>
      </c>
      <c r="D21" s="20">
        <v>4400.0</v>
      </c>
      <c r="E21" s="14">
        <v>7000.0</v>
      </c>
      <c r="F21" s="14">
        <f t="shared" si="1"/>
        <v>5500</v>
      </c>
      <c r="G21" s="14">
        <v>9000.0</v>
      </c>
    </row>
    <row r="22" ht="14.25" hidden="1" customHeight="1">
      <c r="A22" s="12" t="s">
        <v>18</v>
      </c>
      <c r="B22" s="21" t="s">
        <v>83</v>
      </c>
      <c r="C22" s="12" t="s">
        <v>17</v>
      </c>
      <c r="D22" s="20">
        <v>2500.0</v>
      </c>
      <c r="E22" s="14">
        <v>4000.0</v>
      </c>
      <c r="F22" s="14">
        <f t="shared" si="1"/>
        <v>3100</v>
      </c>
      <c r="G22" s="14">
        <v>5000.0</v>
      </c>
    </row>
    <row r="23" ht="14.25" hidden="1" customHeight="1">
      <c r="A23" s="12" t="s">
        <v>18</v>
      </c>
      <c r="B23" s="12" t="s">
        <v>84</v>
      </c>
      <c r="C23" s="12" t="s">
        <v>17</v>
      </c>
      <c r="D23" s="20">
        <v>10600.0</v>
      </c>
      <c r="E23" s="14">
        <v>17000.0</v>
      </c>
      <c r="F23" s="14">
        <f t="shared" si="1"/>
        <v>13300</v>
      </c>
      <c r="G23" s="14">
        <v>21000.0</v>
      </c>
    </row>
    <row r="24" ht="14.25" hidden="1" customHeight="1">
      <c r="A24" s="12" t="s">
        <v>18</v>
      </c>
      <c r="B24" s="12" t="s">
        <v>85</v>
      </c>
      <c r="C24" s="12" t="s">
        <v>17</v>
      </c>
      <c r="D24" s="20">
        <v>10000.0</v>
      </c>
      <c r="E24" s="14">
        <v>16000.0</v>
      </c>
      <c r="F24" s="14">
        <f t="shared" si="1"/>
        <v>12500</v>
      </c>
      <c r="G24" s="14">
        <v>20000.0</v>
      </c>
    </row>
    <row r="25" ht="14.25" hidden="1" customHeight="1">
      <c r="A25" s="12" t="s">
        <v>18</v>
      </c>
      <c r="B25" s="12" t="s">
        <v>86</v>
      </c>
      <c r="C25" s="22" t="s">
        <v>17</v>
      </c>
      <c r="D25" s="20">
        <v>2500.0</v>
      </c>
      <c r="E25" s="14">
        <v>4000.0</v>
      </c>
      <c r="F25" s="14">
        <f t="shared" si="1"/>
        <v>3100</v>
      </c>
      <c r="G25" s="14">
        <v>5000.0</v>
      </c>
    </row>
    <row r="26" ht="14.25" hidden="1" customHeight="1">
      <c r="A26" s="12" t="s">
        <v>18</v>
      </c>
      <c r="B26" s="12" t="s">
        <v>87</v>
      </c>
      <c r="C26" s="12" t="s">
        <v>17</v>
      </c>
      <c r="D26" s="20">
        <v>3100.0</v>
      </c>
      <c r="E26" s="14">
        <v>5000.0</v>
      </c>
      <c r="F26" s="14">
        <f t="shared" si="1"/>
        <v>3900</v>
      </c>
      <c r="G26" s="14">
        <v>6000.0</v>
      </c>
    </row>
    <row r="27" ht="14.25" hidden="1" customHeight="1">
      <c r="A27" s="12" t="s">
        <v>18</v>
      </c>
      <c r="B27" s="23" t="s">
        <v>88</v>
      </c>
      <c r="D27" s="24">
        <v>3000.0</v>
      </c>
      <c r="E27" s="25">
        <v>5000.0</v>
      </c>
      <c r="F27" s="25">
        <v>3000.0</v>
      </c>
      <c r="G27" s="25">
        <v>8000.0</v>
      </c>
    </row>
    <row r="28" ht="14.25" hidden="1" customHeight="1">
      <c r="A28" s="12" t="s">
        <v>20</v>
      </c>
      <c r="B28" s="26" t="s">
        <v>89</v>
      </c>
      <c r="C28" s="12" t="s">
        <v>17</v>
      </c>
      <c r="D28" s="25">
        <v>23000.0</v>
      </c>
      <c r="E28" s="25">
        <v>25000.0</v>
      </c>
      <c r="F28" s="25">
        <v>23000.0</v>
      </c>
      <c r="G28" s="25">
        <v>35000.0</v>
      </c>
    </row>
    <row r="29" ht="14.25" hidden="1" customHeight="1">
      <c r="A29" s="12" t="s">
        <v>20</v>
      </c>
      <c r="B29" s="26" t="s">
        <v>90</v>
      </c>
      <c r="C29" s="12" t="s">
        <v>17</v>
      </c>
      <c r="D29" s="14">
        <v>28000.0</v>
      </c>
      <c r="E29" s="25">
        <v>35000.0</v>
      </c>
      <c r="F29" s="14">
        <f>ROUND(D29+(D29*0.12),-2)</f>
        <v>31400</v>
      </c>
      <c r="G29" s="25">
        <v>40000.0</v>
      </c>
    </row>
    <row r="30" ht="14.25" hidden="1" customHeight="1">
      <c r="A30" s="12" t="s">
        <v>20</v>
      </c>
      <c r="B30" s="26" t="s">
        <v>91</v>
      </c>
      <c r="C30" s="12" t="s">
        <v>17</v>
      </c>
      <c r="D30" s="25">
        <v>30000.0</v>
      </c>
      <c r="E30" s="25">
        <v>35000.0</v>
      </c>
      <c r="F30" s="25">
        <v>32000.0</v>
      </c>
      <c r="G30" s="25">
        <v>45000.0</v>
      </c>
    </row>
    <row r="31" ht="14.25" hidden="1" customHeight="1">
      <c r="A31" s="12" t="s">
        <v>20</v>
      </c>
      <c r="B31" s="26" t="s">
        <v>92</v>
      </c>
      <c r="C31" s="12" t="s">
        <v>17</v>
      </c>
      <c r="D31" s="25">
        <v>33000.0</v>
      </c>
      <c r="E31" s="25">
        <v>45000.0</v>
      </c>
      <c r="F31" s="25">
        <v>36000.0</v>
      </c>
      <c r="G31" s="25">
        <v>60000.0</v>
      </c>
    </row>
    <row r="32" ht="14.25" hidden="1" customHeight="1">
      <c r="A32" s="12" t="s">
        <v>20</v>
      </c>
      <c r="B32" s="26" t="s">
        <v>93</v>
      </c>
      <c r="C32" s="12" t="s">
        <v>94</v>
      </c>
      <c r="D32" s="14">
        <v>7200.0</v>
      </c>
      <c r="E32" s="14">
        <v>12000.0</v>
      </c>
      <c r="F32" s="14">
        <f t="shared" ref="F32:F113" si="2">ROUND(D32+(D32*0.2),-2)</f>
        <v>8600</v>
      </c>
      <c r="G32" s="14">
        <v>14000.0</v>
      </c>
    </row>
    <row r="33" ht="14.25" hidden="1" customHeight="1">
      <c r="A33" s="12" t="s">
        <v>20</v>
      </c>
      <c r="B33" s="12" t="s">
        <v>95</v>
      </c>
      <c r="C33" s="12" t="s">
        <v>96</v>
      </c>
      <c r="D33" s="14">
        <v>16800.0</v>
      </c>
      <c r="E33" s="14">
        <v>27000.0</v>
      </c>
      <c r="F33" s="14">
        <f t="shared" si="2"/>
        <v>20200</v>
      </c>
      <c r="G33" s="14">
        <v>32000.0</v>
      </c>
    </row>
    <row r="34" ht="14.25" hidden="1" customHeight="1">
      <c r="A34" s="12" t="s">
        <v>20</v>
      </c>
      <c r="B34" s="12" t="s">
        <v>97</v>
      </c>
      <c r="C34" s="12" t="s">
        <v>98</v>
      </c>
      <c r="D34" s="14">
        <v>33600.0</v>
      </c>
      <c r="E34" s="14">
        <v>54000.0</v>
      </c>
      <c r="F34" s="14">
        <f t="shared" si="2"/>
        <v>40300</v>
      </c>
      <c r="G34" s="14">
        <v>64000.0</v>
      </c>
    </row>
    <row r="35" ht="14.25" hidden="1" customHeight="1">
      <c r="A35" s="12" t="s">
        <v>20</v>
      </c>
      <c r="B35" s="12" t="s">
        <v>99</v>
      </c>
      <c r="C35" s="12" t="s">
        <v>100</v>
      </c>
      <c r="D35" s="14">
        <v>40800.0</v>
      </c>
      <c r="E35" s="14">
        <v>65000.0</v>
      </c>
      <c r="F35" s="14">
        <f t="shared" si="2"/>
        <v>49000</v>
      </c>
      <c r="G35" s="14">
        <v>78000.0</v>
      </c>
    </row>
    <row r="36" ht="14.25" hidden="1" customHeight="1">
      <c r="A36" s="12" t="s">
        <v>20</v>
      </c>
      <c r="B36" s="12" t="s">
        <v>101</v>
      </c>
      <c r="C36" s="12" t="s">
        <v>102</v>
      </c>
      <c r="D36" s="14">
        <v>42000.0</v>
      </c>
      <c r="E36" s="14">
        <v>67000.0</v>
      </c>
      <c r="F36" s="14">
        <f t="shared" si="2"/>
        <v>50400</v>
      </c>
      <c r="G36" s="14">
        <v>80000.0</v>
      </c>
    </row>
    <row r="37" ht="14.25" hidden="1" customHeight="1">
      <c r="A37" s="12" t="s">
        <v>20</v>
      </c>
      <c r="B37" s="12" t="s">
        <v>103</v>
      </c>
      <c r="C37" s="12" t="s">
        <v>104</v>
      </c>
      <c r="D37" s="14">
        <v>16800.0</v>
      </c>
      <c r="E37" s="14">
        <v>27000.0</v>
      </c>
      <c r="F37" s="14">
        <f t="shared" si="2"/>
        <v>20200</v>
      </c>
      <c r="G37" s="14">
        <v>32000.0</v>
      </c>
    </row>
    <row r="38" ht="14.25" hidden="1" customHeight="1">
      <c r="A38" s="12" t="s">
        <v>20</v>
      </c>
      <c r="B38" s="12" t="s">
        <v>105</v>
      </c>
      <c r="C38" s="12" t="s">
        <v>102</v>
      </c>
      <c r="D38" s="14">
        <v>11400.0</v>
      </c>
      <c r="E38" s="14">
        <v>18000.0</v>
      </c>
      <c r="F38" s="14">
        <f t="shared" si="2"/>
        <v>13700</v>
      </c>
      <c r="G38" s="14">
        <v>22000.0</v>
      </c>
    </row>
    <row r="39" ht="14.25" hidden="1" customHeight="1">
      <c r="A39" s="12" t="s">
        <v>20</v>
      </c>
      <c r="B39" s="12" t="s">
        <v>106</v>
      </c>
      <c r="C39" s="12" t="s">
        <v>96</v>
      </c>
      <c r="D39" s="14">
        <v>7800.0</v>
      </c>
      <c r="E39" s="14">
        <v>12000.0</v>
      </c>
      <c r="F39" s="14">
        <f t="shared" si="2"/>
        <v>9400</v>
      </c>
      <c r="G39" s="14">
        <v>15000.0</v>
      </c>
    </row>
    <row r="40" ht="14.25" hidden="1" customHeight="1">
      <c r="A40" s="12" t="s">
        <v>20</v>
      </c>
      <c r="B40" s="12" t="s">
        <v>107</v>
      </c>
      <c r="C40" s="12" t="s">
        <v>96</v>
      </c>
      <c r="D40" s="14">
        <v>15600.0</v>
      </c>
      <c r="E40" s="14">
        <v>25000.0</v>
      </c>
      <c r="F40" s="14">
        <f t="shared" si="2"/>
        <v>18700</v>
      </c>
      <c r="G40" s="14">
        <v>30000.0</v>
      </c>
    </row>
    <row r="41" ht="14.25" hidden="1" customHeight="1">
      <c r="A41" s="12" t="s">
        <v>20</v>
      </c>
      <c r="B41" s="12" t="s">
        <v>108</v>
      </c>
      <c r="C41" s="12" t="s">
        <v>96</v>
      </c>
      <c r="D41" s="14">
        <v>26400.0</v>
      </c>
      <c r="E41" s="14">
        <v>42000.0</v>
      </c>
      <c r="F41" s="14">
        <f t="shared" si="2"/>
        <v>31700</v>
      </c>
      <c r="G41" s="14">
        <v>50000.0</v>
      </c>
    </row>
    <row r="42" ht="14.25" hidden="1" customHeight="1">
      <c r="A42" s="12" t="s">
        <v>20</v>
      </c>
      <c r="B42" s="12" t="s">
        <v>109</v>
      </c>
      <c r="C42" s="12" t="s">
        <v>17</v>
      </c>
      <c r="D42" s="14">
        <v>13200.0</v>
      </c>
      <c r="E42" s="14">
        <v>21000.0</v>
      </c>
      <c r="F42" s="14">
        <f t="shared" si="2"/>
        <v>15800</v>
      </c>
      <c r="G42" s="14">
        <v>25000.0</v>
      </c>
    </row>
    <row r="43" ht="14.25" hidden="1" customHeight="1">
      <c r="A43" s="12" t="s">
        <v>20</v>
      </c>
      <c r="B43" s="12" t="s">
        <v>110</v>
      </c>
      <c r="C43" s="12" t="s">
        <v>17</v>
      </c>
      <c r="D43" s="14">
        <v>13200.0</v>
      </c>
      <c r="E43" s="14">
        <v>21000.0</v>
      </c>
      <c r="F43" s="14">
        <f t="shared" si="2"/>
        <v>15800</v>
      </c>
      <c r="G43" s="14">
        <v>25000.0</v>
      </c>
    </row>
    <row r="44" ht="14.25" hidden="1" customHeight="1">
      <c r="A44" s="12" t="s">
        <v>20</v>
      </c>
      <c r="B44" s="12" t="s">
        <v>111</v>
      </c>
      <c r="C44" s="12" t="s">
        <v>104</v>
      </c>
      <c r="D44" s="14">
        <v>38400.0</v>
      </c>
      <c r="E44" s="14">
        <v>61000.0</v>
      </c>
      <c r="F44" s="14">
        <f t="shared" si="2"/>
        <v>46100</v>
      </c>
      <c r="G44" s="14">
        <v>73000.0</v>
      </c>
    </row>
    <row r="45" ht="14.25" hidden="1" customHeight="1">
      <c r="A45" s="12" t="s">
        <v>20</v>
      </c>
      <c r="B45" s="12" t="s">
        <v>112</v>
      </c>
      <c r="C45" s="12" t="s">
        <v>17</v>
      </c>
      <c r="D45" s="14">
        <v>22800.0</v>
      </c>
      <c r="E45" s="14">
        <v>36000.0</v>
      </c>
      <c r="F45" s="14">
        <f t="shared" si="2"/>
        <v>27400</v>
      </c>
      <c r="G45" s="14">
        <v>43000.0</v>
      </c>
    </row>
    <row r="46" ht="14.25" hidden="1" customHeight="1">
      <c r="A46" s="12" t="s">
        <v>20</v>
      </c>
      <c r="B46" s="12" t="s">
        <v>113</v>
      </c>
      <c r="C46" s="12" t="s">
        <v>17</v>
      </c>
      <c r="D46" s="14">
        <v>54000.0</v>
      </c>
      <c r="E46" s="14">
        <v>86000.0</v>
      </c>
      <c r="F46" s="14">
        <f t="shared" si="2"/>
        <v>64800</v>
      </c>
      <c r="G46" s="14">
        <v>103000.0</v>
      </c>
    </row>
    <row r="47" ht="14.25" hidden="1" customHeight="1">
      <c r="A47" s="12" t="s">
        <v>20</v>
      </c>
      <c r="B47" s="12" t="s">
        <v>114</v>
      </c>
      <c r="C47" s="12" t="s">
        <v>115</v>
      </c>
      <c r="D47" s="14">
        <v>30000.0</v>
      </c>
      <c r="E47" s="14">
        <v>48000.0</v>
      </c>
      <c r="F47" s="14">
        <f t="shared" si="2"/>
        <v>36000</v>
      </c>
      <c r="G47" s="14">
        <v>57000.0</v>
      </c>
    </row>
    <row r="48" ht="14.25" hidden="1" customHeight="1">
      <c r="A48" s="12" t="s">
        <v>20</v>
      </c>
      <c r="B48" s="12" t="s">
        <v>116</v>
      </c>
      <c r="C48" s="12" t="s">
        <v>96</v>
      </c>
      <c r="D48" s="14">
        <v>5400.0</v>
      </c>
      <c r="E48" s="14">
        <v>9000.0</v>
      </c>
      <c r="F48" s="14">
        <f t="shared" si="2"/>
        <v>6500</v>
      </c>
      <c r="G48" s="14">
        <v>10000.0</v>
      </c>
    </row>
    <row r="49" ht="14.25" hidden="1" customHeight="1">
      <c r="A49" s="12" t="s">
        <v>20</v>
      </c>
      <c r="B49" s="12" t="s">
        <v>117</v>
      </c>
      <c r="C49" s="12" t="s">
        <v>118</v>
      </c>
      <c r="D49" s="20">
        <v>24000.0</v>
      </c>
      <c r="E49" s="14">
        <v>38000.0</v>
      </c>
      <c r="F49" s="14">
        <f t="shared" si="2"/>
        <v>28800</v>
      </c>
      <c r="G49" s="14">
        <v>46000.0</v>
      </c>
    </row>
    <row r="50" ht="14.25" hidden="1" customHeight="1">
      <c r="A50" s="12" t="s">
        <v>20</v>
      </c>
      <c r="B50" s="12" t="s">
        <v>119</v>
      </c>
      <c r="C50" s="12" t="s">
        <v>96</v>
      </c>
      <c r="D50" s="20">
        <v>36000.0</v>
      </c>
      <c r="E50" s="14">
        <v>58000.0</v>
      </c>
      <c r="F50" s="14">
        <f t="shared" si="2"/>
        <v>43200</v>
      </c>
      <c r="G50" s="14">
        <v>68000.0</v>
      </c>
    </row>
    <row r="51" ht="14.25" hidden="1" customHeight="1">
      <c r="A51" s="12" t="s">
        <v>20</v>
      </c>
      <c r="B51" s="12" t="s">
        <v>120</v>
      </c>
      <c r="C51" s="12" t="s">
        <v>96</v>
      </c>
      <c r="D51" s="20">
        <v>36000.0</v>
      </c>
      <c r="E51" s="14">
        <v>58000.0</v>
      </c>
      <c r="F51" s="14">
        <f t="shared" si="2"/>
        <v>43200</v>
      </c>
      <c r="G51" s="14">
        <v>68000.0</v>
      </c>
    </row>
    <row r="52" ht="14.25" hidden="1" customHeight="1">
      <c r="A52" s="12" t="s">
        <v>20</v>
      </c>
      <c r="B52" s="12" t="s">
        <v>121</v>
      </c>
      <c r="C52" s="12" t="s">
        <v>118</v>
      </c>
      <c r="D52" s="20">
        <v>36000.0</v>
      </c>
      <c r="E52" s="14">
        <v>58000.0</v>
      </c>
      <c r="F52" s="14">
        <f t="shared" si="2"/>
        <v>43200</v>
      </c>
      <c r="G52" s="14">
        <v>68000.0</v>
      </c>
    </row>
    <row r="53" ht="14.25" hidden="1" customHeight="1">
      <c r="A53" s="12" t="s">
        <v>20</v>
      </c>
      <c r="B53" s="12" t="s">
        <v>122</v>
      </c>
      <c r="C53" s="12" t="s">
        <v>118</v>
      </c>
      <c r="D53" s="20">
        <v>4800.0</v>
      </c>
      <c r="E53" s="14">
        <v>8000.0</v>
      </c>
      <c r="F53" s="14">
        <f t="shared" si="2"/>
        <v>5800</v>
      </c>
      <c r="G53" s="14">
        <v>9000.0</v>
      </c>
    </row>
    <row r="54" ht="14.25" hidden="1" customHeight="1">
      <c r="A54" s="12" t="s">
        <v>20</v>
      </c>
      <c r="B54" s="12" t="s">
        <v>123</v>
      </c>
      <c r="C54" s="12" t="s">
        <v>124</v>
      </c>
      <c r="D54" s="20">
        <v>42000.0</v>
      </c>
      <c r="E54" s="14">
        <v>67000.0</v>
      </c>
      <c r="F54" s="14">
        <f t="shared" si="2"/>
        <v>50400</v>
      </c>
      <c r="G54" s="14">
        <v>80000.0</v>
      </c>
    </row>
    <row r="55" ht="14.25" hidden="1" customHeight="1">
      <c r="A55" s="12" t="s">
        <v>20</v>
      </c>
      <c r="B55" s="12" t="s">
        <v>125</v>
      </c>
      <c r="C55" s="12" t="s">
        <v>118</v>
      </c>
      <c r="D55" s="20">
        <v>36000.0</v>
      </c>
      <c r="E55" s="14">
        <v>58000.0</v>
      </c>
      <c r="F55" s="14">
        <f t="shared" si="2"/>
        <v>43200</v>
      </c>
      <c r="G55" s="14">
        <v>68000.0</v>
      </c>
    </row>
    <row r="56" ht="14.25" hidden="1" customHeight="1">
      <c r="A56" s="12" t="s">
        <v>20</v>
      </c>
      <c r="B56" s="12" t="s">
        <v>126</v>
      </c>
      <c r="C56" s="12" t="s">
        <v>100</v>
      </c>
      <c r="D56" s="20">
        <v>36000.0</v>
      </c>
      <c r="E56" s="14">
        <v>58000.0</v>
      </c>
      <c r="F56" s="14">
        <f t="shared" si="2"/>
        <v>43200</v>
      </c>
      <c r="G56" s="14">
        <v>68000.0</v>
      </c>
    </row>
    <row r="57" ht="14.25" hidden="1" customHeight="1">
      <c r="A57" s="12" t="s">
        <v>20</v>
      </c>
      <c r="B57" s="12" t="s">
        <v>127</v>
      </c>
      <c r="C57" s="12" t="s">
        <v>118</v>
      </c>
      <c r="D57" s="20">
        <v>48000.0</v>
      </c>
      <c r="E57" s="14">
        <v>77000.0</v>
      </c>
      <c r="F57" s="14">
        <f t="shared" si="2"/>
        <v>57600</v>
      </c>
      <c r="G57" s="14">
        <v>91000.0</v>
      </c>
    </row>
    <row r="58" ht="14.25" hidden="1" customHeight="1">
      <c r="A58" s="12" t="s">
        <v>20</v>
      </c>
      <c r="B58" s="12" t="s">
        <v>128</v>
      </c>
      <c r="C58" s="12" t="s">
        <v>102</v>
      </c>
      <c r="D58" s="20">
        <v>22800.0</v>
      </c>
      <c r="E58" s="14">
        <v>36000.0</v>
      </c>
      <c r="F58" s="14">
        <f t="shared" si="2"/>
        <v>27400</v>
      </c>
      <c r="G58" s="14">
        <v>43000.0</v>
      </c>
    </row>
    <row r="59" ht="14.25" hidden="1" customHeight="1">
      <c r="A59" s="12" t="s">
        <v>20</v>
      </c>
      <c r="B59" s="12" t="s">
        <v>129</v>
      </c>
      <c r="C59" s="12" t="s">
        <v>130</v>
      </c>
      <c r="D59" s="20">
        <v>6000.0</v>
      </c>
      <c r="E59" s="14">
        <v>10000.0</v>
      </c>
      <c r="F59" s="14">
        <f t="shared" si="2"/>
        <v>7200</v>
      </c>
      <c r="G59" s="14">
        <v>11000.0</v>
      </c>
    </row>
    <row r="60" ht="14.25" hidden="1" customHeight="1">
      <c r="A60" s="12" t="s">
        <v>20</v>
      </c>
      <c r="B60" s="12" t="s">
        <v>131</v>
      </c>
      <c r="C60" s="12" t="s">
        <v>17</v>
      </c>
      <c r="D60" s="14">
        <v>15000.0</v>
      </c>
      <c r="E60" s="25">
        <v>25000.0</v>
      </c>
      <c r="F60" s="14">
        <f t="shared" si="2"/>
        <v>18000</v>
      </c>
      <c r="G60" s="14">
        <v>29000.0</v>
      </c>
    </row>
    <row r="61" ht="14.25" hidden="1" customHeight="1">
      <c r="A61" s="12" t="s">
        <v>20</v>
      </c>
      <c r="B61" s="12" t="s">
        <v>132</v>
      </c>
      <c r="C61" s="12" t="s">
        <v>17</v>
      </c>
      <c r="D61" s="14">
        <v>14400.0</v>
      </c>
      <c r="E61" s="25">
        <v>22000.0</v>
      </c>
      <c r="F61" s="14">
        <f t="shared" si="2"/>
        <v>17300</v>
      </c>
      <c r="G61" s="14">
        <v>27000.0</v>
      </c>
    </row>
    <row r="62" ht="14.25" hidden="1" customHeight="1">
      <c r="A62" s="12" t="s">
        <v>22</v>
      </c>
      <c r="B62" s="12" t="s">
        <v>133</v>
      </c>
      <c r="C62" s="12" t="s">
        <v>96</v>
      </c>
      <c r="D62" s="14">
        <v>3600.0</v>
      </c>
      <c r="E62" s="14">
        <v>6000.0</v>
      </c>
      <c r="F62" s="14">
        <f t="shared" si="2"/>
        <v>4300</v>
      </c>
      <c r="G62" s="14">
        <v>7000.0</v>
      </c>
    </row>
    <row r="63" ht="14.25" hidden="1" customHeight="1">
      <c r="A63" s="12" t="s">
        <v>22</v>
      </c>
      <c r="B63" s="12" t="s">
        <v>134</v>
      </c>
      <c r="C63" s="12" t="s">
        <v>135</v>
      </c>
      <c r="D63" s="14">
        <v>3600.0</v>
      </c>
      <c r="E63" s="14">
        <v>6000.0</v>
      </c>
      <c r="F63" s="14">
        <f t="shared" si="2"/>
        <v>4300</v>
      </c>
      <c r="G63" s="14">
        <v>7000.0</v>
      </c>
    </row>
    <row r="64" ht="14.25" hidden="1" customHeight="1">
      <c r="A64" s="12" t="s">
        <v>22</v>
      </c>
      <c r="B64" s="12" t="s">
        <v>136</v>
      </c>
      <c r="C64" s="12" t="s">
        <v>52</v>
      </c>
      <c r="D64" s="14">
        <v>3400.0</v>
      </c>
      <c r="E64" s="14">
        <v>5000.0</v>
      </c>
      <c r="F64" s="14">
        <f t="shared" si="2"/>
        <v>4100</v>
      </c>
      <c r="G64" s="14">
        <v>7000.0</v>
      </c>
    </row>
    <row r="65" ht="14.25" hidden="1" customHeight="1">
      <c r="A65" s="12" t="s">
        <v>22</v>
      </c>
      <c r="B65" s="12" t="s">
        <v>137</v>
      </c>
      <c r="C65" s="12" t="s">
        <v>96</v>
      </c>
      <c r="D65" s="14">
        <v>3600.0</v>
      </c>
      <c r="E65" s="14">
        <v>6000.0</v>
      </c>
      <c r="F65" s="14">
        <f t="shared" si="2"/>
        <v>4300</v>
      </c>
      <c r="G65" s="14">
        <v>7000.0</v>
      </c>
    </row>
    <row r="66" ht="14.25" hidden="1" customHeight="1">
      <c r="A66" s="12" t="s">
        <v>22</v>
      </c>
      <c r="B66" s="12" t="s">
        <v>138</v>
      </c>
      <c r="C66" s="12" t="s">
        <v>96</v>
      </c>
      <c r="D66" s="14">
        <v>6000.0</v>
      </c>
      <c r="E66" s="14">
        <v>10000.0</v>
      </c>
      <c r="F66" s="14">
        <f t="shared" si="2"/>
        <v>7200</v>
      </c>
      <c r="G66" s="14">
        <v>12000.0</v>
      </c>
    </row>
    <row r="67" ht="14.25" hidden="1" customHeight="1">
      <c r="A67" s="12" t="s">
        <v>22</v>
      </c>
      <c r="B67" s="13" t="s">
        <v>139</v>
      </c>
      <c r="C67" s="12" t="s">
        <v>96</v>
      </c>
      <c r="D67" s="14">
        <v>9000.0</v>
      </c>
      <c r="E67" s="14">
        <v>14000.0</v>
      </c>
      <c r="F67" s="14">
        <f t="shared" si="2"/>
        <v>10800</v>
      </c>
      <c r="G67" s="14">
        <v>18000.0</v>
      </c>
    </row>
    <row r="68" ht="14.25" hidden="1" customHeight="1">
      <c r="A68" s="12" t="s">
        <v>22</v>
      </c>
      <c r="B68" s="12" t="s">
        <v>140</v>
      </c>
      <c r="C68" s="12" t="s">
        <v>141</v>
      </c>
      <c r="D68" s="14">
        <v>3600.0</v>
      </c>
      <c r="E68" s="14">
        <v>6000.0</v>
      </c>
      <c r="F68" s="14">
        <f t="shared" si="2"/>
        <v>4300</v>
      </c>
      <c r="G68" s="14">
        <v>7000.0</v>
      </c>
    </row>
    <row r="69" ht="14.25" hidden="1" customHeight="1">
      <c r="A69" s="12" t="s">
        <v>22</v>
      </c>
      <c r="B69" s="12" t="s">
        <v>142</v>
      </c>
      <c r="C69" s="12" t="s">
        <v>102</v>
      </c>
      <c r="D69" s="14">
        <v>3600.0</v>
      </c>
      <c r="E69" s="14">
        <v>6000.0</v>
      </c>
      <c r="F69" s="14">
        <f t="shared" si="2"/>
        <v>4300</v>
      </c>
      <c r="G69" s="14">
        <v>7000.0</v>
      </c>
    </row>
    <row r="70" ht="14.25" hidden="1" customHeight="1">
      <c r="A70" s="12" t="s">
        <v>22</v>
      </c>
      <c r="B70" s="12" t="s">
        <v>143</v>
      </c>
      <c r="C70" s="12" t="s">
        <v>102</v>
      </c>
      <c r="D70" s="14">
        <v>4200.0</v>
      </c>
      <c r="E70" s="14">
        <v>7000.0</v>
      </c>
      <c r="F70" s="14">
        <f t="shared" si="2"/>
        <v>5000</v>
      </c>
      <c r="G70" s="14">
        <v>8000.0</v>
      </c>
    </row>
    <row r="71" ht="14.25" hidden="1" customHeight="1">
      <c r="A71" s="12" t="s">
        <v>22</v>
      </c>
      <c r="B71" s="12" t="s">
        <v>144</v>
      </c>
      <c r="C71" s="12" t="s">
        <v>102</v>
      </c>
      <c r="D71" s="14">
        <v>4800.0</v>
      </c>
      <c r="E71" s="14">
        <v>8000.0</v>
      </c>
      <c r="F71" s="14">
        <f t="shared" si="2"/>
        <v>5800</v>
      </c>
      <c r="G71" s="14">
        <v>10000.0</v>
      </c>
    </row>
    <row r="72" ht="14.25" hidden="1" customHeight="1">
      <c r="A72" s="12" t="s">
        <v>22</v>
      </c>
      <c r="B72" s="12" t="s">
        <v>145</v>
      </c>
      <c r="C72" s="12" t="s">
        <v>102</v>
      </c>
      <c r="D72" s="14">
        <v>5800.0</v>
      </c>
      <c r="E72" s="14">
        <v>9000.0</v>
      </c>
      <c r="F72" s="14">
        <f t="shared" si="2"/>
        <v>7000</v>
      </c>
      <c r="G72" s="14">
        <v>12000.0</v>
      </c>
    </row>
    <row r="73" ht="14.25" hidden="1" customHeight="1">
      <c r="A73" s="12" t="s">
        <v>22</v>
      </c>
      <c r="B73" s="12" t="s">
        <v>146</v>
      </c>
      <c r="C73" s="12" t="s">
        <v>102</v>
      </c>
      <c r="D73" s="14">
        <v>4600.0</v>
      </c>
      <c r="E73" s="14">
        <v>7000.0</v>
      </c>
      <c r="F73" s="14">
        <f t="shared" si="2"/>
        <v>5500</v>
      </c>
      <c r="G73" s="14">
        <v>9000.0</v>
      </c>
    </row>
    <row r="74" ht="14.25" hidden="1" customHeight="1">
      <c r="A74" s="12" t="s">
        <v>22</v>
      </c>
      <c r="B74" s="12" t="s">
        <v>147</v>
      </c>
      <c r="C74" s="12" t="s">
        <v>94</v>
      </c>
      <c r="D74" s="14">
        <v>4000.0</v>
      </c>
      <c r="E74" s="14">
        <v>6000.0</v>
      </c>
      <c r="F74" s="14">
        <f t="shared" si="2"/>
        <v>4800</v>
      </c>
      <c r="G74" s="14">
        <v>8000.0</v>
      </c>
    </row>
    <row r="75" ht="14.25" hidden="1" customHeight="1">
      <c r="A75" s="12" t="s">
        <v>22</v>
      </c>
      <c r="B75" s="12" t="s">
        <v>148</v>
      </c>
      <c r="C75" s="12" t="s">
        <v>94</v>
      </c>
      <c r="D75" s="14">
        <v>6000.0</v>
      </c>
      <c r="E75" s="14">
        <v>10000.0</v>
      </c>
      <c r="F75" s="14">
        <f t="shared" si="2"/>
        <v>7200</v>
      </c>
      <c r="G75" s="14">
        <v>12000.0</v>
      </c>
    </row>
    <row r="76" ht="14.25" hidden="1" customHeight="1">
      <c r="A76" s="12" t="s">
        <v>22</v>
      </c>
      <c r="B76" s="12" t="s">
        <v>149</v>
      </c>
      <c r="C76" s="12" t="s">
        <v>150</v>
      </c>
      <c r="D76" s="14">
        <v>21600.0</v>
      </c>
      <c r="E76" s="14">
        <v>35000.0</v>
      </c>
      <c r="F76" s="14">
        <f t="shared" si="2"/>
        <v>25900</v>
      </c>
      <c r="G76" s="14">
        <v>43000.0</v>
      </c>
    </row>
    <row r="77" ht="14.25" hidden="1" customHeight="1">
      <c r="A77" s="12" t="s">
        <v>22</v>
      </c>
      <c r="B77" s="12" t="s">
        <v>151</v>
      </c>
      <c r="C77" s="12" t="s">
        <v>94</v>
      </c>
      <c r="D77" s="14">
        <v>6000.0</v>
      </c>
      <c r="E77" s="14">
        <v>10000.0</v>
      </c>
      <c r="F77" s="14">
        <f t="shared" si="2"/>
        <v>7200</v>
      </c>
      <c r="G77" s="14">
        <v>12000.0</v>
      </c>
    </row>
    <row r="78" ht="14.25" hidden="1" customHeight="1">
      <c r="A78" s="12" t="s">
        <v>22</v>
      </c>
      <c r="B78" s="12" t="s">
        <v>152</v>
      </c>
      <c r="C78" s="12" t="s">
        <v>94</v>
      </c>
      <c r="D78" s="14">
        <v>4200.0</v>
      </c>
      <c r="E78" s="14">
        <v>7000.0</v>
      </c>
      <c r="F78" s="14">
        <f t="shared" si="2"/>
        <v>5000</v>
      </c>
      <c r="G78" s="14">
        <v>8000.0</v>
      </c>
    </row>
    <row r="79" ht="14.25" hidden="1" customHeight="1">
      <c r="A79" s="12" t="s">
        <v>22</v>
      </c>
      <c r="B79" s="12" t="s">
        <v>153</v>
      </c>
      <c r="C79" s="12" t="s">
        <v>94</v>
      </c>
      <c r="D79" s="14">
        <v>6000.0</v>
      </c>
      <c r="E79" s="14">
        <v>10000.0</v>
      </c>
      <c r="F79" s="14">
        <f t="shared" si="2"/>
        <v>7200</v>
      </c>
      <c r="G79" s="14">
        <v>12000.0</v>
      </c>
    </row>
    <row r="80" ht="14.25" hidden="1" customHeight="1">
      <c r="A80" s="12" t="s">
        <v>22</v>
      </c>
      <c r="B80" s="12" t="s">
        <v>154</v>
      </c>
      <c r="C80" s="12" t="s">
        <v>130</v>
      </c>
      <c r="D80" s="14">
        <v>6600.0</v>
      </c>
      <c r="E80" s="14">
        <v>11000.0</v>
      </c>
      <c r="F80" s="14">
        <f t="shared" si="2"/>
        <v>7900</v>
      </c>
      <c r="G80" s="14">
        <v>13000.0</v>
      </c>
    </row>
    <row r="81" ht="14.25" hidden="1" customHeight="1">
      <c r="A81" s="12" t="s">
        <v>22</v>
      </c>
      <c r="B81" s="12" t="s">
        <v>155</v>
      </c>
      <c r="C81" s="12" t="s">
        <v>150</v>
      </c>
      <c r="D81" s="14">
        <v>21600.0</v>
      </c>
      <c r="E81" s="14">
        <v>35000.0</v>
      </c>
      <c r="F81" s="14">
        <f t="shared" si="2"/>
        <v>25900</v>
      </c>
      <c r="G81" s="14">
        <v>43000.0</v>
      </c>
    </row>
    <row r="82" ht="14.25" hidden="1" customHeight="1">
      <c r="A82" s="12" t="s">
        <v>22</v>
      </c>
      <c r="B82" s="12" t="s">
        <v>156</v>
      </c>
      <c r="C82" s="12" t="s">
        <v>141</v>
      </c>
      <c r="D82" s="14">
        <v>3600.0</v>
      </c>
      <c r="E82" s="14">
        <v>6000.0</v>
      </c>
      <c r="F82" s="14">
        <f t="shared" si="2"/>
        <v>4300</v>
      </c>
      <c r="G82" s="14">
        <v>7000.0</v>
      </c>
    </row>
    <row r="83" ht="14.25" hidden="1" customHeight="1">
      <c r="A83" s="12" t="s">
        <v>22</v>
      </c>
      <c r="B83" s="12" t="s">
        <v>157</v>
      </c>
      <c r="C83" s="12" t="s">
        <v>141</v>
      </c>
      <c r="D83" s="14">
        <v>3400.0</v>
      </c>
      <c r="E83" s="14">
        <v>5000.0</v>
      </c>
      <c r="F83" s="14">
        <f t="shared" si="2"/>
        <v>4100</v>
      </c>
      <c r="G83" s="14">
        <v>7000.0</v>
      </c>
    </row>
    <row r="84" ht="14.25" hidden="1" customHeight="1">
      <c r="A84" s="12" t="s">
        <v>22</v>
      </c>
      <c r="B84" s="27" t="s">
        <v>158</v>
      </c>
      <c r="C84" s="12" t="s">
        <v>159</v>
      </c>
      <c r="D84" s="14">
        <v>3600.0</v>
      </c>
      <c r="E84" s="14">
        <v>6000.0</v>
      </c>
      <c r="F84" s="14">
        <f t="shared" si="2"/>
        <v>4300</v>
      </c>
      <c r="G84" s="14">
        <v>7000.0</v>
      </c>
    </row>
    <row r="85" ht="14.25" hidden="1" customHeight="1">
      <c r="A85" s="12" t="s">
        <v>22</v>
      </c>
      <c r="B85" s="12" t="s">
        <v>160</v>
      </c>
      <c r="C85" s="12" t="s">
        <v>141</v>
      </c>
      <c r="D85" s="14">
        <v>3600.0</v>
      </c>
      <c r="E85" s="14">
        <v>6000.0</v>
      </c>
      <c r="F85" s="14">
        <f t="shared" si="2"/>
        <v>4300</v>
      </c>
      <c r="G85" s="14">
        <v>7000.0</v>
      </c>
    </row>
    <row r="86" ht="14.25" hidden="1" customHeight="1">
      <c r="A86" s="12" t="s">
        <v>22</v>
      </c>
      <c r="B86" s="12" t="s">
        <v>161</v>
      </c>
      <c r="C86" s="12" t="s">
        <v>159</v>
      </c>
      <c r="D86" s="14">
        <v>3600.0</v>
      </c>
      <c r="E86" s="14">
        <v>6000.0</v>
      </c>
      <c r="F86" s="14">
        <f t="shared" si="2"/>
        <v>4300</v>
      </c>
      <c r="G86" s="14">
        <v>7000.0</v>
      </c>
    </row>
    <row r="87" ht="14.25" hidden="1" customHeight="1">
      <c r="A87" s="12" t="s">
        <v>22</v>
      </c>
      <c r="B87" s="12" t="s">
        <v>162</v>
      </c>
      <c r="C87" s="12" t="s">
        <v>135</v>
      </c>
      <c r="D87" s="14">
        <v>2400.0</v>
      </c>
      <c r="E87" s="14">
        <v>4000.0</v>
      </c>
      <c r="F87" s="14">
        <f t="shared" si="2"/>
        <v>2900</v>
      </c>
      <c r="G87" s="14">
        <v>5000.0</v>
      </c>
    </row>
    <row r="88" ht="14.25" hidden="1" customHeight="1">
      <c r="A88" s="12" t="s">
        <v>22</v>
      </c>
      <c r="B88" s="12" t="s">
        <v>163</v>
      </c>
      <c r="C88" s="12" t="s">
        <v>17</v>
      </c>
      <c r="D88" s="14">
        <v>4600.0</v>
      </c>
      <c r="E88" s="14">
        <v>7000.0</v>
      </c>
      <c r="F88" s="14">
        <f t="shared" si="2"/>
        <v>5500</v>
      </c>
      <c r="G88" s="14">
        <v>9000.0</v>
      </c>
    </row>
    <row r="89" ht="14.25" hidden="1" customHeight="1">
      <c r="A89" s="12" t="s">
        <v>22</v>
      </c>
      <c r="B89" s="28" t="s">
        <v>164</v>
      </c>
      <c r="C89" s="12" t="s">
        <v>17</v>
      </c>
      <c r="D89" s="14">
        <v>15600.0</v>
      </c>
      <c r="E89" s="14">
        <v>25000.0</v>
      </c>
      <c r="F89" s="14">
        <f t="shared" si="2"/>
        <v>18700</v>
      </c>
      <c r="G89" s="14">
        <v>31000.0</v>
      </c>
    </row>
    <row r="90" ht="14.25" hidden="1" customHeight="1">
      <c r="A90" s="12" t="s">
        <v>22</v>
      </c>
      <c r="B90" s="28" t="s">
        <v>165</v>
      </c>
      <c r="C90" s="12" t="s">
        <v>94</v>
      </c>
      <c r="D90" s="14">
        <v>2400.0</v>
      </c>
      <c r="E90" s="14">
        <v>4000.0</v>
      </c>
      <c r="F90" s="14">
        <f t="shared" si="2"/>
        <v>2900</v>
      </c>
      <c r="G90" s="14">
        <v>5000.0</v>
      </c>
    </row>
    <row r="91" ht="14.25" hidden="1" customHeight="1">
      <c r="A91" s="12" t="s">
        <v>22</v>
      </c>
      <c r="B91" s="13" t="s">
        <v>166</v>
      </c>
      <c r="C91" s="12" t="s">
        <v>96</v>
      </c>
      <c r="D91" s="14">
        <v>8800.0</v>
      </c>
      <c r="E91" s="14">
        <v>14000.0</v>
      </c>
      <c r="F91" s="14">
        <f t="shared" si="2"/>
        <v>10600</v>
      </c>
      <c r="G91" s="14">
        <v>18000.0</v>
      </c>
    </row>
    <row r="92" ht="14.25" hidden="1" customHeight="1">
      <c r="A92" s="12" t="s">
        <v>22</v>
      </c>
      <c r="B92" s="12" t="s">
        <v>167</v>
      </c>
      <c r="C92" s="12" t="s">
        <v>94</v>
      </c>
      <c r="D92" s="14">
        <v>4800.0</v>
      </c>
      <c r="E92" s="14">
        <v>8000.0</v>
      </c>
      <c r="F92" s="14">
        <f t="shared" si="2"/>
        <v>5800</v>
      </c>
      <c r="G92" s="14">
        <v>10000.0</v>
      </c>
    </row>
    <row r="93" ht="14.25" hidden="1" customHeight="1">
      <c r="A93" s="12" t="s">
        <v>22</v>
      </c>
      <c r="B93" s="29" t="s">
        <v>168</v>
      </c>
      <c r="C93" s="12" t="s">
        <v>17</v>
      </c>
      <c r="D93" s="14">
        <v>3000.0</v>
      </c>
      <c r="E93" s="14">
        <v>5000.0</v>
      </c>
      <c r="F93" s="14">
        <f t="shared" si="2"/>
        <v>3600</v>
      </c>
      <c r="G93" s="14">
        <v>6000.0</v>
      </c>
    </row>
    <row r="94" ht="14.25" hidden="1" customHeight="1">
      <c r="A94" s="12" t="s">
        <v>22</v>
      </c>
      <c r="B94" s="28" t="s">
        <v>169</v>
      </c>
      <c r="C94" s="12" t="s">
        <v>94</v>
      </c>
      <c r="D94" s="14">
        <v>1400.0</v>
      </c>
      <c r="E94" s="14">
        <v>2000.0</v>
      </c>
      <c r="F94" s="14">
        <f t="shared" si="2"/>
        <v>1700</v>
      </c>
      <c r="G94" s="14">
        <v>3000.0</v>
      </c>
    </row>
    <row r="95" ht="14.25" hidden="1" customHeight="1">
      <c r="A95" s="12" t="s">
        <v>22</v>
      </c>
      <c r="B95" s="12" t="s">
        <v>170</v>
      </c>
      <c r="C95" s="12" t="s">
        <v>150</v>
      </c>
      <c r="D95" s="14">
        <v>1800.0</v>
      </c>
      <c r="E95" s="14">
        <v>3000.0</v>
      </c>
      <c r="F95" s="14">
        <f t="shared" si="2"/>
        <v>2200</v>
      </c>
      <c r="G95" s="14">
        <v>4000.0</v>
      </c>
    </row>
    <row r="96" ht="14.25" hidden="1" customHeight="1">
      <c r="A96" s="12" t="s">
        <v>22</v>
      </c>
      <c r="B96" s="27" t="s">
        <v>171</v>
      </c>
      <c r="C96" s="12" t="s">
        <v>17</v>
      </c>
      <c r="D96" s="14">
        <v>3600.0</v>
      </c>
      <c r="E96" s="14">
        <v>6000.0</v>
      </c>
      <c r="F96" s="14">
        <f t="shared" si="2"/>
        <v>4300</v>
      </c>
      <c r="G96" s="14">
        <v>7000.0</v>
      </c>
    </row>
    <row r="97" ht="14.25" hidden="1" customHeight="1">
      <c r="A97" s="12" t="s">
        <v>22</v>
      </c>
      <c r="B97" s="27" t="s">
        <v>172</v>
      </c>
      <c r="C97" s="12" t="s">
        <v>17</v>
      </c>
      <c r="D97" s="14">
        <v>4200.0</v>
      </c>
      <c r="E97" s="14">
        <v>7000.0</v>
      </c>
      <c r="F97" s="14">
        <f t="shared" si="2"/>
        <v>5000</v>
      </c>
      <c r="G97" s="14">
        <v>8000.0</v>
      </c>
    </row>
    <row r="98" ht="14.25" hidden="1" customHeight="1">
      <c r="A98" s="12" t="s">
        <v>22</v>
      </c>
      <c r="B98" s="27" t="s">
        <v>173</v>
      </c>
      <c r="C98" s="12" t="s">
        <v>17</v>
      </c>
      <c r="D98" s="14">
        <v>7200.0</v>
      </c>
      <c r="E98" s="14">
        <v>12000.0</v>
      </c>
      <c r="F98" s="14">
        <f t="shared" si="2"/>
        <v>8600</v>
      </c>
      <c r="G98" s="14">
        <v>14000.0</v>
      </c>
    </row>
    <row r="99" ht="14.25" hidden="1" customHeight="1">
      <c r="A99" s="12" t="s">
        <v>22</v>
      </c>
      <c r="B99" s="27" t="s">
        <v>174</v>
      </c>
      <c r="C99" s="12" t="s">
        <v>17</v>
      </c>
      <c r="D99" s="14">
        <v>3000.0</v>
      </c>
      <c r="E99" s="14">
        <v>5000.0</v>
      </c>
      <c r="F99" s="14">
        <f t="shared" si="2"/>
        <v>3600</v>
      </c>
      <c r="G99" s="14">
        <v>6000.0</v>
      </c>
    </row>
    <row r="100" ht="14.25" hidden="1" customHeight="1">
      <c r="A100" s="12" t="s">
        <v>22</v>
      </c>
      <c r="B100" s="27" t="s">
        <v>175</v>
      </c>
      <c r="C100" s="12" t="s">
        <v>17</v>
      </c>
      <c r="D100" s="14">
        <v>4800.0</v>
      </c>
      <c r="E100" s="14">
        <v>8000.0</v>
      </c>
      <c r="F100" s="14">
        <f t="shared" si="2"/>
        <v>5800</v>
      </c>
      <c r="G100" s="14">
        <v>10000.0</v>
      </c>
    </row>
    <row r="101" ht="14.25" hidden="1" customHeight="1">
      <c r="A101" s="12" t="s">
        <v>22</v>
      </c>
      <c r="B101" s="27" t="s">
        <v>176</v>
      </c>
      <c r="C101" s="12" t="s">
        <v>17</v>
      </c>
      <c r="D101" s="14">
        <v>3600.0</v>
      </c>
      <c r="E101" s="14">
        <v>6000.0</v>
      </c>
      <c r="F101" s="14">
        <f t="shared" si="2"/>
        <v>4300</v>
      </c>
      <c r="G101" s="14">
        <v>7000.0</v>
      </c>
    </row>
    <row r="102" ht="14.25" hidden="1" customHeight="1">
      <c r="A102" s="12" t="s">
        <v>22</v>
      </c>
      <c r="B102" s="30" t="s">
        <v>177</v>
      </c>
      <c r="C102" s="12"/>
      <c r="D102" s="14">
        <v>4200.0</v>
      </c>
      <c r="E102" s="25">
        <v>6500.0</v>
      </c>
      <c r="F102" s="14">
        <f t="shared" si="2"/>
        <v>5000</v>
      </c>
      <c r="G102" s="25">
        <v>10000.0</v>
      </c>
    </row>
    <row r="103" ht="14.25" hidden="1" customHeight="1">
      <c r="A103" s="12" t="s">
        <v>22</v>
      </c>
      <c r="B103" s="31" t="s">
        <v>178</v>
      </c>
      <c r="C103" s="12"/>
      <c r="D103" s="14">
        <v>4200.0</v>
      </c>
      <c r="E103" s="25">
        <v>6500.0</v>
      </c>
      <c r="F103" s="14">
        <f t="shared" si="2"/>
        <v>5000</v>
      </c>
      <c r="G103" s="25">
        <v>10000.0</v>
      </c>
    </row>
    <row r="104" ht="14.25" hidden="1" customHeight="1">
      <c r="A104" s="12" t="s">
        <v>26</v>
      </c>
      <c r="B104" s="21" t="s">
        <v>179</v>
      </c>
      <c r="C104" s="12" t="s">
        <v>96</v>
      </c>
      <c r="D104" s="14">
        <v>15600.0</v>
      </c>
      <c r="E104" s="14">
        <v>25000.0</v>
      </c>
      <c r="F104" s="14">
        <f t="shared" si="2"/>
        <v>18700</v>
      </c>
      <c r="G104" s="14">
        <v>31000.0</v>
      </c>
    </row>
    <row r="105" ht="14.25" hidden="1" customHeight="1">
      <c r="A105" s="12" t="s">
        <v>26</v>
      </c>
      <c r="B105" s="12" t="s">
        <v>180</v>
      </c>
      <c r="C105" s="12" t="s">
        <v>17</v>
      </c>
      <c r="D105" s="14">
        <v>33600.0</v>
      </c>
      <c r="E105" s="14">
        <v>54000.0</v>
      </c>
      <c r="F105" s="14">
        <f t="shared" si="2"/>
        <v>40300</v>
      </c>
      <c r="G105" s="14">
        <v>67000.0</v>
      </c>
    </row>
    <row r="106" ht="18.0" hidden="1" customHeight="1">
      <c r="A106" s="12" t="s">
        <v>26</v>
      </c>
      <c r="B106" s="12" t="s">
        <v>181</v>
      </c>
      <c r="C106" s="12" t="s">
        <v>182</v>
      </c>
      <c r="D106" s="14">
        <v>40800.0</v>
      </c>
      <c r="E106" s="14">
        <v>65000.0</v>
      </c>
      <c r="F106" s="14">
        <f t="shared" si="2"/>
        <v>49000</v>
      </c>
      <c r="G106" s="14">
        <v>82000.0</v>
      </c>
    </row>
    <row r="107" ht="17.25" hidden="1" customHeight="1">
      <c r="A107" s="12" t="s">
        <v>26</v>
      </c>
      <c r="B107" s="12" t="s">
        <v>183</v>
      </c>
      <c r="C107" s="12" t="s">
        <v>102</v>
      </c>
      <c r="D107" s="14">
        <v>8200.0</v>
      </c>
      <c r="E107" s="14">
        <v>13000.0</v>
      </c>
      <c r="F107" s="14">
        <f t="shared" si="2"/>
        <v>9800</v>
      </c>
      <c r="G107" s="14">
        <v>16000.0</v>
      </c>
    </row>
    <row r="108" ht="16.5" hidden="1" customHeight="1">
      <c r="A108" s="12" t="s">
        <v>26</v>
      </c>
      <c r="B108" s="12" t="s">
        <v>184</v>
      </c>
      <c r="C108" s="12" t="s">
        <v>102</v>
      </c>
      <c r="D108" s="14">
        <v>13200.0</v>
      </c>
      <c r="E108" s="14">
        <v>21000.0</v>
      </c>
      <c r="F108" s="14">
        <f t="shared" si="2"/>
        <v>15800</v>
      </c>
      <c r="G108" s="14">
        <v>26000.0</v>
      </c>
    </row>
    <row r="109" ht="14.25" hidden="1" customHeight="1">
      <c r="A109" s="12" t="s">
        <v>26</v>
      </c>
      <c r="B109" s="12" t="s">
        <v>185</v>
      </c>
      <c r="C109" s="12" t="s">
        <v>17</v>
      </c>
      <c r="D109" s="14">
        <v>8400.0</v>
      </c>
      <c r="E109" s="14">
        <v>13000.0</v>
      </c>
      <c r="F109" s="14">
        <f t="shared" si="2"/>
        <v>10100</v>
      </c>
      <c r="G109" s="14">
        <v>17000.0</v>
      </c>
    </row>
    <row r="110" ht="15.0" hidden="1" customHeight="1">
      <c r="A110" s="12" t="s">
        <v>26</v>
      </c>
      <c r="B110" s="21" t="s">
        <v>186</v>
      </c>
      <c r="C110" s="12" t="s">
        <v>187</v>
      </c>
      <c r="D110" s="14">
        <v>4800.0</v>
      </c>
      <c r="E110" s="14">
        <v>8000.0</v>
      </c>
      <c r="F110" s="14">
        <f t="shared" si="2"/>
        <v>5800</v>
      </c>
      <c r="G110" s="14">
        <v>10000.0</v>
      </c>
      <c r="H110" s="32"/>
      <c r="I110" s="32"/>
      <c r="J110" s="32"/>
      <c r="K110" s="32"/>
      <c r="L110" s="32"/>
      <c r="M110" s="32"/>
      <c r="N110" s="32"/>
      <c r="O110" s="32"/>
      <c r="P110" s="32"/>
      <c r="Q110" s="32"/>
    </row>
    <row r="111" ht="18.0" hidden="1" customHeight="1">
      <c r="A111" s="12" t="s">
        <v>26</v>
      </c>
      <c r="B111" s="12" t="s">
        <v>188</v>
      </c>
      <c r="C111" s="12" t="s">
        <v>102</v>
      </c>
      <c r="D111" s="20">
        <v>13200.0</v>
      </c>
      <c r="E111" s="14">
        <v>21000.0</v>
      </c>
      <c r="F111" s="14">
        <f t="shared" si="2"/>
        <v>15800</v>
      </c>
      <c r="G111" s="14">
        <v>26000.0</v>
      </c>
    </row>
    <row r="112" ht="18.75" hidden="1" customHeight="1">
      <c r="A112" s="12" t="s">
        <v>26</v>
      </c>
      <c r="B112" s="12" t="s">
        <v>189</v>
      </c>
      <c r="C112" s="12" t="s">
        <v>17</v>
      </c>
      <c r="D112" s="20">
        <v>2400.0</v>
      </c>
      <c r="E112" s="14">
        <v>4000.0</v>
      </c>
      <c r="F112" s="14">
        <f t="shared" si="2"/>
        <v>2900</v>
      </c>
      <c r="G112" s="14">
        <v>5000.0</v>
      </c>
    </row>
    <row r="113" ht="14.25" hidden="1" customHeight="1">
      <c r="A113" s="12" t="s">
        <v>26</v>
      </c>
      <c r="B113" s="12" t="s">
        <v>190</v>
      </c>
      <c r="C113" s="12" t="s">
        <v>17</v>
      </c>
      <c r="D113" s="20">
        <v>7200.0</v>
      </c>
      <c r="E113" s="14">
        <v>12000.0</v>
      </c>
      <c r="F113" s="14">
        <f t="shared" si="2"/>
        <v>8600</v>
      </c>
      <c r="G113" s="14">
        <v>14000.0</v>
      </c>
    </row>
    <row r="114" ht="14.25" hidden="1" customHeight="1">
      <c r="A114" s="12" t="s">
        <v>26</v>
      </c>
      <c r="B114" s="33" t="s">
        <v>191</v>
      </c>
      <c r="D114" s="34"/>
      <c r="E114" s="35">
        <v>28000.0</v>
      </c>
      <c r="F114" s="35">
        <v>21000.0</v>
      </c>
      <c r="G114" s="35">
        <v>35000.0</v>
      </c>
    </row>
    <row r="115" ht="14.25" hidden="1" customHeight="1">
      <c r="A115" s="12" t="s">
        <v>24</v>
      </c>
      <c r="B115" s="12" t="s">
        <v>192</v>
      </c>
      <c r="C115" s="12" t="s">
        <v>193</v>
      </c>
      <c r="D115" s="14">
        <v>3600.0</v>
      </c>
      <c r="E115" s="14">
        <v>6000.0</v>
      </c>
      <c r="F115" s="14">
        <f>ROUND(D115+(D115*0.2),-2)</f>
        <v>4300</v>
      </c>
      <c r="G115" s="14">
        <v>7000.0</v>
      </c>
    </row>
    <row r="116" ht="14.25" hidden="1" customHeight="1">
      <c r="A116" s="12" t="s">
        <v>24</v>
      </c>
      <c r="B116" s="12" t="s">
        <v>194</v>
      </c>
      <c r="C116" s="12" t="s">
        <v>94</v>
      </c>
      <c r="D116" s="14">
        <v>12000.0</v>
      </c>
      <c r="E116" s="14">
        <v>14000.0</v>
      </c>
      <c r="F116" s="25">
        <v>13000.0</v>
      </c>
      <c r="G116" s="25">
        <v>20000.0</v>
      </c>
    </row>
    <row r="117" ht="14.25" hidden="1" customHeight="1">
      <c r="A117" s="12" t="s">
        <v>24</v>
      </c>
      <c r="B117" s="36" t="s">
        <v>195</v>
      </c>
      <c r="C117" s="12" t="s">
        <v>94</v>
      </c>
      <c r="D117" s="14">
        <v>12000.0</v>
      </c>
      <c r="E117" s="14">
        <v>14000.0</v>
      </c>
      <c r="F117" s="25">
        <v>13000.0</v>
      </c>
      <c r="G117" s="25">
        <v>20000.0</v>
      </c>
    </row>
    <row r="118" ht="14.25" hidden="1" customHeight="1">
      <c r="A118" s="12" t="s">
        <v>24</v>
      </c>
      <c r="B118" s="37" t="s">
        <v>196</v>
      </c>
      <c r="C118" s="12" t="s">
        <v>94</v>
      </c>
      <c r="D118" s="14">
        <v>42000.0</v>
      </c>
      <c r="E118" s="25">
        <v>65000.0</v>
      </c>
      <c r="F118" s="14">
        <f t="shared" ref="F118:F119" si="3">ROUND(D118+(D118*0.2),-2)</f>
        <v>50400</v>
      </c>
      <c r="G118" s="25">
        <v>80000.0</v>
      </c>
    </row>
    <row r="119" ht="14.25" hidden="1" customHeight="1">
      <c r="A119" s="12" t="s">
        <v>24</v>
      </c>
      <c r="B119" s="21" t="s">
        <v>197</v>
      </c>
      <c r="C119" s="12" t="s">
        <v>102</v>
      </c>
      <c r="D119" s="14">
        <v>12000.0</v>
      </c>
      <c r="E119" s="14">
        <v>19000.0</v>
      </c>
      <c r="F119" s="14">
        <f t="shared" si="3"/>
        <v>14400</v>
      </c>
      <c r="G119" s="14">
        <v>24000.0</v>
      </c>
    </row>
    <row r="120" ht="14.25" hidden="1" customHeight="1">
      <c r="A120" s="12" t="s">
        <v>24</v>
      </c>
      <c r="B120" s="12" t="s">
        <v>198</v>
      </c>
      <c r="C120" s="12" t="s">
        <v>94</v>
      </c>
      <c r="D120" s="14">
        <v>14400.0</v>
      </c>
      <c r="E120" s="14">
        <v>17000.0</v>
      </c>
      <c r="F120" s="25">
        <v>15500.0</v>
      </c>
      <c r="G120" s="25">
        <v>30000.0</v>
      </c>
    </row>
    <row r="121" ht="14.25" hidden="1" customHeight="1">
      <c r="A121" s="12" t="s">
        <v>24</v>
      </c>
      <c r="B121" s="36" t="s">
        <v>199</v>
      </c>
      <c r="C121" s="12" t="s">
        <v>94</v>
      </c>
      <c r="D121" s="14">
        <v>13800.0</v>
      </c>
      <c r="E121" s="14">
        <v>17000.0</v>
      </c>
      <c r="F121" s="25">
        <v>15500.0</v>
      </c>
      <c r="G121" s="25">
        <v>25000.0</v>
      </c>
    </row>
    <row r="122" ht="14.25" hidden="1" customHeight="1">
      <c r="A122" s="12" t="s">
        <v>24</v>
      </c>
      <c r="B122" s="36" t="s">
        <v>200</v>
      </c>
      <c r="C122" s="12" t="s">
        <v>94</v>
      </c>
      <c r="D122" s="14">
        <v>48000.0</v>
      </c>
      <c r="E122" s="25">
        <v>60000.0</v>
      </c>
      <c r="F122" s="25">
        <v>53000.0</v>
      </c>
      <c r="G122" s="25">
        <v>85000.0</v>
      </c>
    </row>
    <row r="123" ht="14.25" hidden="1" customHeight="1">
      <c r="A123" s="12" t="s">
        <v>24</v>
      </c>
      <c r="B123" s="12" t="s">
        <v>201</v>
      </c>
      <c r="C123" s="12" t="s">
        <v>96</v>
      </c>
      <c r="D123" s="14">
        <v>7800.0</v>
      </c>
      <c r="E123" s="14">
        <v>12000.0</v>
      </c>
      <c r="F123" s="14">
        <f t="shared" ref="F123:F150" si="4">ROUND(D123+(D123*0.2),-2)</f>
        <v>9400</v>
      </c>
      <c r="G123" s="14">
        <v>16000.0</v>
      </c>
    </row>
    <row r="124" ht="14.25" hidden="1" customHeight="1">
      <c r="A124" s="12" t="s">
        <v>24</v>
      </c>
      <c r="B124" s="12" t="s">
        <v>202</v>
      </c>
      <c r="C124" s="12" t="s">
        <v>96</v>
      </c>
      <c r="D124" s="14">
        <v>15600.0</v>
      </c>
      <c r="E124" s="14">
        <v>25000.0</v>
      </c>
      <c r="F124" s="14">
        <f t="shared" si="4"/>
        <v>18700</v>
      </c>
      <c r="G124" s="14">
        <v>31000.0</v>
      </c>
    </row>
    <row r="125" ht="14.25" hidden="1" customHeight="1">
      <c r="A125" s="12" t="s">
        <v>24</v>
      </c>
      <c r="B125" s="12" t="s">
        <v>203</v>
      </c>
      <c r="C125" s="12" t="s">
        <v>96</v>
      </c>
      <c r="D125" s="14">
        <v>7800.0</v>
      </c>
      <c r="E125" s="14">
        <v>12000.0</v>
      </c>
      <c r="F125" s="14">
        <f t="shared" si="4"/>
        <v>9400</v>
      </c>
      <c r="G125" s="14">
        <v>16000.0</v>
      </c>
    </row>
    <row r="126" ht="14.25" hidden="1" customHeight="1">
      <c r="A126" s="12" t="s">
        <v>24</v>
      </c>
      <c r="B126" s="12" t="s">
        <v>204</v>
      </c>
      <c r="C126" s="12" t="s">
        <v>159</v>
      </c>
      <c r="D126" s="14">
        <v>8400.0</v>
      </c>
      <c r="E126" s="14">
        <v>13000.0</v>
      </c>
      <c r="F126" s="14">
        <f t="shared" si="4"/>
        <v>10100</v>
      </c>
      <c r="G126" s="14">
        <v>17000.0</v>
      </c>
    </row>
    <row r="127" ht="14.25" hidden="1" customHeight="1">
      <c r="A127" s="12" t="s">
        <v>24</v>
      </c>
      <c r="B127" s="12" t="s">
        <v>205</v>
      </c>
      <c r="C127" s="12" t="s">
        <v>206</v>
      </c>
      <c r="D127" s="14">
        <v>8400.0</v>
      </c>
      <c r="E127" s="14">
        <v>13000.0</v>
      </c>
      <c r="F127" s="14">
        <f t="shared" si="4"/>
        <v>10100</v>
      </c>
      <c r="G127" s="14">
        <v>17000.0</v>
      </c>
    </row>
    <row r="128" ht="14.25" hidden="1" customHeight="1">
      <c r="A128" s="12" t="s">
        <v>24</v>
      </c>
      <c r="B128" s="12" t="s">
        <v>207</v>
      </c>
      <c r="C128" s="12" t="s">
        <v>193</v>
      </c>
      <c r="D128" s="14">
        <v>3600.0</v>
      </c>
      <c r="E128" s="14">
        <v>6000.0</v>
      </c>
      <c r="F128" s="14">
        <f t="shared" si="4"/>
        <v>4300</v>
      </c>
      <c r="G128" s="14">
        <v>7000.0</v>
      </c>
    </row>
    <row r="129" ht="14.25" hidden="1" customHeight="1">
      <c r="A129" s="12" t="s">
        <v>24</v>
      </c>
      <c r="B129" s="21" t="s">
        <v>208</v>
      </c>
      <c r="C129" s="12" t="s">
        <v>94</v>
      </c>
      <c r="D129" s="14">
        <v>21600.0</v>
      </c>
      <c r="E129" s="14">
        <v>35000.0</v>
      </c>
      <c r="F129" s="14">
        <f t="shared" si="4"/>
        <v>25900</v>
      </c>
      <c r="G129" s="14">
        <v>43000.0</v>
      </c>
    </row>
    <row r="130" ht="14.25" hidden="1" customHeight="1">
      <c r="A130" s="12" t="s">
        <v>24</v>
      </c>
      <c r="B130" s="12" t="s">
        <v>209</v>
      </c>
      <c r="C130" s="12" t="s">
        <v>94</v>
      </c>
      <c r="D130" s="14">
        <v>16800.0</v>
      </c>
      <c r="E130" s="14">
        <v>27000.0</v>
      </c>
      <c r="F130" s="14">
        <f t="shared" si="4"/>
        <v>20200</v>
      </c>
      <c r="G130" s="14">
        <v>34000.0</v>
      </c>
    </row>
    <row r="131" ht="14.25" hidden="1" customHeight="1">
      <c r="A131" s="12" t="s">
        <v>24</v>
      </c>
      <c r="B131" s="12" t="s">
        <v>210</v>
      </c>
      <c r="C131" s="12" t="s">
        <v>187</v>
      </c>
      <c r="D131" s="14">
        <v>18000.0</v>
      </c>
      <c r="E131" s="14">
        <v>27000.0</v>
      </c>
      <c r="F131" s="14">
        <f t="shared" si="4"/>
        <v>21600</v>
      </c>
      <c r="G131" s="14">
        <v>36000.0</v>
      </c>
    </row>
    <row r="132" ht="14.25" hidden="1" customHeight="1">
      <c r="A132" s="12" t="s">
        <v>24</v>
      </c>
      <c r="B132" s="12" t="s">
        <v>211</v>
      </c>
      <c r="C132" s="12" t="s">
        <v>212</v>
      </c>
      <c r="D132" s="14">
        <v>16800.0</v>
      </c>
      <c r="E132" s="14">
        <v>27000.0</v>
      </c>
      <c r="F132" s="14">
        <f t="shared" si="4"/>
        <v>20200</v>
      </c>
      <c r="G132" s="14">
        <v>34000.0</v>
      </c>
    </row>
    <row r="133" ht="14.25" hidden="1" customHeight="1">
      <c r="A133" s="12" t="s">
        <v>24</v>
      </c>
      <c r="B133" s="12" t="s">
        <v>207</v>
      </c>
      <c r="C133" s="12" t="s">
        <v>193</v>
      </c>
      <c r="D133" s="14">
        <v>3600.0</v>
      </c>
      <c r="E133" s="14">
        <v>6000.0</v>
      </c>
      <c r="F133" s="14">
        <f t="shared" si="4"/>
        <v>4300</v>
      </c>
      <c r="G133" s="14">
        <v>7000.0</v>
      </c>
    </row>
    <row r="134" ht="14.25" hidden="1" customHeight="1">
      <c r="A134" s="12" t="s">
        <v>24</v>
      </c>
      <c r="B134" s="12" t="s">
        <v>213</v>
      </c>
      <c r="C134" s="12" t="s">
        <v>214</v>
      </c>
      <c r="D134" s="14">
        <v>9600.0</v>
      </c>
      <c r="E134" s="14">
        <v>15000.0</v>
      </c>
      <c r="F134" s="14">
        <f t="shared" si="4"/>
        <v>11500</v>
      </c>
      <c r="G134" s="14">
        <v>19000.0</v>
      </c>
    </row>
    <row r="135" ht="14.25" hidden="1" customHeight="1">
      <c r="A135" s="12" t="s">
        <v>24</v>
      </c>
      <c r="B135" s="12" t="s">
        <v>215</v>
      </c>
      <c r="C135" s="12" t="s">
        <v>214</v>
      </c>
      <c r="D135" s="14">
        <v>13200.0</v>
      </c>
      <c r="E135" s="14">
        <v>21000.0</v>
      </c>
      <c r="F135" s="14">
        <f t="shared" si="4"/>
        <v>15800</v>
      </c>
      <c r="G135" s="14">
        <v>26000.0</v>
      </c>
    </row>
    <row r="136" ht="14.25" hidden="1" customHeight="1">
      <c r="A136" s="12" t="s">
        <v>24</v>
      </c>
      <c r="B136" s="12" t="s">
        <v>216</v>
      </c>
      <c r="C136" s="12" t="s">
        <v>96</v>
      </c>
      <c r="D136" s="14">
        <v>7200.0</v>
      </c>
      <c r="E136" s="14">
        <v>12000.0</v>
      </c>
      <c r="F136" s="14">
        <f t="shared" si="4"/>
        <v>8600</v>
      </c>
      <c r="G136" s="14">
        <v>14000.0</v>
      </c>
    </row>
    <row r="137" ht="14.25" hidden="1" customHeight="1">
      <c r="A137" s="12" t="s">
        <v>24</v>
      </c>
      <c r="B137" s="12" t="s">
        <v>217</v>
      </c>
      <c r="C137" s="12" t="s">
        <v>124</v>
      </c>
      <c r="D137" s="14">
        <v>15600.0</v>
      </c>
      <c r="E137" s="14">
        <v>25000.0</v>
      </c>
      <c r="F137" s="14">
        <f t="shared" si="4"/>
        <v>18700</v>
      </c>
      <c r="G137" s="14">
        <v>31000.0</v>
      </c>
    </row>
    <row r="138" ht="14.25" hidden="1" customHeight="1">
      <c r="A138" s="12" t="s">
        <v>24</v>
      </c>
      <c r="B138" s="12" t="s">
        <v>218</v>
      </c>
      <c r="C138" s="12" t="s">
        <v>17</v>
      </c>
      <c r="D138" s="14">
        <v>18000.0</v>
      </c>
      <c r="E138" s="14">
        <v>29000.0</v>
      </c>
      <c r="F138" s="14">
        <f t="shared" si="4"/>
        <v>21600</v>
      </c>
      <c r="G138" s="14">
        <v>36000.0</v>
      </c>
    </row>
    <row r="139" ht="14.25" hidden="1" customHeight="1">
      <c r="A139" s="12" t="s">
        <v>24</v>
      </c>
      <c r="B139" s="12" t="s">
        <v>219</v>
      </c>
      <c r="C139" s="12" t="s">
        <v>17</v>
      </c>
      <c r="D139" s="14">
        <v>9600.0</v>
      </c>
      <c r="E139" s="14">
        <v>15000.0</v>
      </c>
      <c r="F139" s="14">
        <f t="shared" si="4"/>
        <v>11500</v>
      </c>
      <c r="G139" s="14">
        <v>19000.0</v>
      </c>
    </row>
    <row r="140" ht="14.25" hidden="1" customHeight="1">
      <c r="A140" s="12" t="s">
        <v>24</v>
      </c>
      <c r="B140" s="12" t="s">
        <v>220</v>
      </c>
      <c r="C140" s="12" t="s">
        <v>17</v>
      </c>
      <c r="D140" s="14">
        <v>7200.0</v>
      </c>
      <c r="E140" s="14">
        <v>12000.0</v>
      </c>
      <c r="F140" s="14">
        <f t="shared" si="4"/>
        <v>8600</v>
      </c>
      <c r="G140" s="14">
        <v>14000.0</v>
      </c>
    </row>
    <row r="141" ht="14.25" hidden="1" customHeight="1">
      <c r="A141" s="12" t="s">
        <v>24</v>
      </c>
      <c r="B141" s="12" t="s">
        <v>221</v>
      </c>
      <c r="C141" s="12" t="s">
        <v>17</v>
      </c>
      <c r="D141" s="14">
        <v>15600.0</v>
      </c>
      <c r="E141" s="14">
        <v>25000.0</v>
      </c>
      <c r="F141" s="14">
        <f t="shared" si="4"/>
        <v>18700</v>
      </c>
      <c r="G141" s="14">
        <v>31000.0</v>
      </c>
    </row>
    <row r="142" ht="14.25" hidden="1" customHeight="1">
      <c r="A142" s="12" t="s">
        <v>24</v>
      </c>
      <c r="B142" s="12" t="s">
        <v>222</v>
      </c>
      <c r="C142" s="12" t="s">
        <v>17</v>
      </c>
      <c r="D142" s="14">
        <v>3600.0</v>
      </c>
      <c r="E142" s="14">
        <v>6000.0</v>
      </c>
      <c r="F142" s="14">
        <f t="shared" si="4"/>
        <v>4300</v>
      </c>
      <c r="G142" s="14">
        <v>7000.0</v>
      </c>
    </row>
    <row r="143" ht="14.25" hidden="1" customHeight="1">
      <c r="A143" s="12" t="s">
        <v>24</v>
      </c>
      <c r="B143" s="12" t="s">
        <v>223</v>
      </c>
      <c r="C143" s="12" t="s">
        <v>17</v>
      </c>
      <c r="D143" s="14">
        <v>3600.0</v>
      </c>
      <c r="E143" s="14">
        <v>6000.0</v>
      </c>
      <c r="F143" s="14">
        <f t="shared" si="4"/>
        <v>4300</v>
      </c>
      <c r="G143" s="14">
        <v>7000.0</v>
      </c>
    </row>
    <row r="144" ht="14.25" hidden="1" customHeight="1">
      <c r="A144" s="12" t="s">
        <v>28</v>
      </c>
      <c r="B144" s="12" t="s">
        <v>224</v>
      </c>
      <c r="C144" s="12" t="s">
        <v>102</v>
      </c>
      <c r="D144" s="14">
        <v>34800.0</v>
      </c>
      <c r="E144" s="14">
        <v>56000.0</v>
      </c>
      <c r="F144" s="14">
        <f t="shared" si="4"/>
        <v>41800</v>
      </c>
      <c r="G144" s="14">
        <v>77000.0</v>
      </c>
    </row>
    <row r="145" ht="14.25" hidden="1" customHeight="1">
      <c r="A145" s="12" t="s">
        <v>28</v>
      </c>
      <c r="B145" s="12" t="s">
        <v>225</v>
      </c>
      <c r="C145" s="12" t="s">
        <v>226</v>
      </c>
      <c r="D145" s="20">
        <v>54000.0</v>
      </c>
      <c r="E145" s="14">
        <v>86000.0</v>
      </c>
      <c r="F145" s="14">
        <f t="shared" si="4"/>
        <v>64800</v>
      </c>
      <c r="G145" s="14">
        <v>119000.0</v>
      </c>
    </row>
    <row r="146" ht="14.25" hidden="1" customHeight="1">
      <c r="A146" s="12" t="s">
        <v>28</v>
      </c>
      <c r="B146" s="12" t="s">
        <v>227</v>
      </c>
      <c r="C146" s="12" t="s">
        <v>226</v>
      </c>
      <c r="D146" s="20">
        <v>54000.0</v>
      </c>
      <c r="E146" s="14">
        <v>86000.0</v>
      </c>
      <c r="F146" s="14">
        <f t="shared" si="4"/>
        <v>64800</v>
      </c>
      <c r="G146" s="14">
        <v>119000.0</v>
      </c>
    </row>
    <row r="147" ht="14.25" hidden="1" customHeight="1">
      <c r="A147" s="12" t="s">
        <v>28</v>
      </c>
      <c r="B147" s="12" t="s">
        <v>228</v>
      </c>
      <c r="C147" s="12" t="s">
        <v>118</v>
      </c>
      <c r="D147" s="20">
        <v>45600.0</v>
      </c>
      <c r="E147" s="14">
        <v>73000.0</v>
      </c>
      <c r="F147" s="14">
        <f t="shared" si="4"/>
        <v>54700</v>
      </c>
      <c r="G147" s="14">
        <v>100000.0</v>
      </c>
    </row>
    <row r="148" ht="14.25" hidden="1" customHeight="1">
      <c r="A148" s="12" t="s">
        <v>28</v>
      </c>
      <c r="B148" s="12" t="s">
        <v>224</v>
      </c>
      <c r="C148" s="12" t="s">
        <v>17</v>
      </c>
      <c r="D148" s="20">
        <v>34800.0</v>
      </c>
      <c r="E148" s="14">
        <v>56000.0</v>
      </c>
      <c r="F148" s="14">
        <f t="shared" si="4"/>
        <v>41800</v>
      </c>
      <c r="G148" s="14">
        <v>77000.0</v>
      </c>
    </row>
    <row r="149" ht="14.25" hidden="1" customHeight="1">
      <c r="A149" s="12" t="s">
        <v>30</v>
      </c>
      <c r="B149" s="12" t="s">
        <v>229</v>
      </c>
      <c r="C149" s="12" t="s">
        <v>17</v>
      </c>
      <c r="D149" s="14">
        <v>195600.0</v>
      </c>
      <c r="E149" s="14">
        <v>274000.0</v>
      </c>
      <c r="F149" s="14">
        <f t="shared" si="4"/>
        <v>234700</v>
      </c>
      <c r="G149" s="14">
        <v>352000.0</v>
      </c>
    </row>
    <row r="150" ht="14.25" hidden="1" customHeight="1">
      <c r="A150" s="12" t="s">
        <v>30</v>
      </c>
      <c r="B150" s="12" t="s">
        <v>230</v>
      </c>
      <c r="C150" s="12" t="s">
        <v>17</v>
      </c>
      <c r="D150" s="14">
        <v>219600.0</v>
      </c>
      <c r="E150" s="14">
        <v>307000.0</v>
      </c>
      <c r="F150" s="14">
        <f t="shared" si="4"/>
        <v>263500</v>
      </c>
      <c r="G150" s="14">
        <v>395000.0</v>
      </c>
    </row>
    <row r="151" ht="14.25" hidden="1" customHeight="1">
      <c r="A151" s="12" t="s">
        <v>30</v>
      </c>
      <c r="B151" s="12" t="s">
        <v>231</v>
      </c>
      <c r="C151" s="12" t="s">
        <v>96</v>
      </c>
      <c r="D151" s="14">
        <v>186000.0</v>
      </c>
      <c r="E151" s="25">
        <v>250000.0</v>
      </c>
      <c r="F151" s="25">
        <v>220000.0</v>
      </c>
      <c r="G151" s="25">
        <v>300000.0</v>
      </c>
    </row>
    <row r="152" ht="14.25" hidden="1" customHeight="1">
      <c r="A152" s="12" t="s">
        <v>30</v>
      </c>
      <c r="B152" s="12" t="s">
        <v>232</v>
      </c>
      <c r="C152" s="12" t="s">
        <v>102</v>
      </c>
      <c r="D152" s="14">
        <v>11400.0</v>
      </c>
      <c r="E152" s="14">
        <v>16000.0</v>
      </c>
      <c r="F152" s="14">
        <f t="shared" ref="F152:F173" si="5">ROUND(D152+(D152*0.2),-2)</f>
        <v>13700</v>
      </c>
      <c r="G152" s="14">
        <v>21000.0</v>
      </c>
    </row>
    <row r="153" ht="14.25" hidden="1" customHeight="1">
      <c r="A153" s="12" t="s">
        <v>30</v>
      </c>
      <c r="B153" s="12" t="s">
        <v>233</v>
      </c>
      <c r="C153" s="12" t="s">
        <v>102</v>
      </c>
      <c r="D153" s="14">
        <v>16800.0</v>
      </c>
      <c r="E153" s="14">
        <v>24000.0</v>
      </c>
      <c r="F153" s="14">
        <f t="shared" si="5"/>
        <v>20200</v>
      </c>
      <c r="G153" s="14">
        <v>30000.0</v>
      </c>
    </row>
    <row r="154" ht="14.25" hidden="1" customHeight="1">
      <c r="A154" s="12" t="s">
        <v>30</v>
      </c>
      <c r="B154" s="12" t="s">
        <v>234</v>
      </c>
      <c r="C154" s="12" t="s">
        <v>17</v>
      </c>
      <c r="D154" s="14">
        <v>12000.0</v>
      </c>
      <c r="E154" s="14">
        <v>17000.0</v>
      </c>
      <c r="F154" s="14">
        <f t="shared" si="5"/>
        <v>14400</v>
      </c>
      <c r="G154" s="14">
        <v>22000.0</v>
      </c>
    </row>
    <row r="155" ht="14.25" hidden="1" customHeight="1">
      <c r="A155" s="12" t="s">
        <v>30</v>
      </c>
      <c r="B155" s="12" t="s">
        <v>235</v>
      </c>
      <c r="C155" s="12" t="s">
        <v>96</v>
      </c>
      <c r="D155" s="14">
        <v>40800.0</v>
      </c>
      <c r="E155" s="14">
        <v>57000.0</v>
      </c>
      <c r="F155" s="14">
        <f t="shared" si="5"/>
        <v>49000</v>
      </c>
      <c r="G155" s="14">
        <v>73000.0</v>
      </c>
    </row>
    <row r="156" ht="14.25" hidden="1" customHeight="1">
      <c r="A156" s="12" t="s">
        <v>30</v>
      </c>
      <c r="B156" s="12" t="s">
        <v>236</v>
      </c>
      <c r="C156" s="12" t="s">
        <v>17</v>
      </c>
      <c r="D156" s="14">
        <v>108000.0</v>
      </c>
      <c r="E156" s="14">
        <v>151000.0</v>
      </c>
      <c r="F156" s="14">
        <f t="shared" si="5"/>
        <v>129600</v>
      </c>
      <c r="G156" s="14">
        <v>194000.0</v>
      </c>
    </row>
    <row r="157" ht="14.25" hidden="1" customHeight="1">
      <c r="A157" s="12" t="s">
        <v>30</v>
      </c>
      <c r="B157" s="12" t="s">
        <v>237</v>
      </c>
      <c r="C157" s="12" t="s">
        <v>17</v>
      </c>
      <c r="D157" s="14">
        <v>6000.0</v>
      </c>
      <c r="E157" s="14">
        <v>8000.0</v>
      </c>
      <c r="F157" s="14">
        <f t="shared" si="5"/>
        <v>7200</v>
      </c>
      <c r="G157" s="14">
        <v>11000.0</v>
      </c>
    </row>
    <row r="158" ht="14.25" hidden="1" customHeight="1">
      <c r="A158" s="12" t="s">
        <v>30</v>
      </c>
      <c r="B158" s="12" t="s">
        <v>238</v>
      </c>
      <c r="C158" s="12" t="s">
        <v>17</v>
      </c>
      <c r="D158" s="14">
        <v>9000.0</v>
      </c>
      <c r="E158" s="14">
        <v>13000.0</v>
      </c>
      <c r="F158" s="14">
        <f t="shared" si="5"/>
        <v>10800</v>
      </c>
      <c r="G158" s="14">
        <v>16000.0</v>
      </c>
    </row>
    <row r="159" ht="14.25" hidden="1" customHeight="1">
      <c r="A159" s="12" t="s">
        <v>30</v>
      </c>
      <c r="B159" s="12" t="s">
        <v>239</v>
      </c>
      <c r="C159" s="12" t="s">
        <v>17</v>
      </c>
      <c r="D159" s="14">
        <v>96000.0</v>
      </c>
      <c r="E159" s="14">
        <v>134000.0</v>
      </c>
      <c r="F159" s="14">
        <f t="shared" si="5"/>
        <v>115200</v>
      </c>
      <c r="G159" s="14">
        <v>173000.0</v>
      </c>
    </row>
    <row r="160" ht="14.25" hidden="1" customHeight="1">
      <c r="A160" s="12" t="s">
        <v>30</v>
      </c>
      <c r="B160" s="12" t="s">
        <v>240</v>
      </c>
      <c r="C160" s="12" t="s">
        <v>17</v>
      </c>
      <c r="D160" s="14">
        <v>51600.0</v>
      </c>
      <c r="E160" s="14">
        <v>72000.0</v>
      </c>
      <c r="F160" s="14">
        <f t="shared" si="5"/>
        <v>61900</v>
      </c>
      <c r="G160" s="14">
        <v>93000.0</v>
      </c>
    </row>
    <row r="161" ht="14.25" hidden="1" customHeight="1">
      <c r="A161" s="12" t="s">
        <v>30</v>
      </c>
      <c r="B161" s="12" t="s">
        <v>241</v>
      </c>
      <c r="C161" s="12" t="s">
        <v>17</v>
      </c>
      <c r="D161" s="14">
        <v>24000.0</v>
      </c>
      <c r="E161" s="14">
        <v>34000.0</v>
      </c>
      <c r="F161" s="14">
        <f t="shared" si="5"/>
        <v>28800</v>
      </c>
      <c r="G161" s="14">
        <v>43000.0</v>
      </c>
    </row>
    <row r="162" ht="14.25" hidden="1" customHeight="1">
      <c r="A162" s="12" t="s">
        <v>30</v>
      </c>
      <c r="B162" s="12" t="s">
        <v>242</v>
      </c>
      <c r="C162" s="12" t="s">
        <v>226</v>
      </c>
      <c r="D162" s="14">
        <v>8400.0</v>
      </c>
      <c r="E162" s="14">
        <v>12000.0</v>
      </c>
      <c r="F162" s="14">
        <f t="shared" si="5"/>
        <v>10100</v>
      </c>
      <c r="G162" s="14">
        <v>15000.0</v>
      </c>
    </row>
    <row r="163" ht="14.25" hidden="1" customHeight="1">
      <c r="A163" s="12" t="s">
        <v>30</v>
      </c>
      <c r="B163" s="12" t="s">
        <v>243</v>
      </c>
      <c r="C163" s="12" t="s">
        <v>226</v>
      </c>
      <c r="D163" s="14">
        <v>34800.0</v>
      </c>
      <c r="E163" s="14">
        <v>49000.0</v>
      </c>
      <c r="F163" s="14">
        <f t="shared" si="5"/>
        <v>41800</v>
      </c>
      <c r="G163" s="14">
        <v>63000.0</v>
      </c>
    </row>
    <row r="164" ht="14.25" hidden="1" customHeight="1">
      <c r="A164" s="12" t="s">
        <v>30</v>
      </c>
      <c r="B164" s="12" t="s">
        <v>244</v>
      </c>
      <c r="C164" s="12" t="s">
        <v>17</v>
      </c>
      <c r="D164" s="14">
        <v>84000.0</v>
      </c>
      <c r="E164" s="14">
        <v>118000.0</v>
      </c>
      <c r="F164" s="14">
        <f t="shared" si="5"/>
        <v>100800</v>
      </c>
      <c r="G164" s="14">
        <v>151000.0</v>
      </c>
    </row>
    <row r="165" ht="14.25" hidden="1" customHeight="1">
      <c r="A165" s="12" t="s">
        <v>30</v>
      </c>
      <c r="B165" s="21" t="s">
        <v>245</v>
      </c>
      <c r="C165" s="12" t="s">
        <v>246</v>
      </c>
      <c r="D165" s="38">
        <v>15600.0</v>
      </c>
      <c r="E165" s="14">
        <v>22000.0</v>
      </c>
      <c r="F165" s="14">
        <f t="shared" si="5"/>
        <v>18700</v>
      </c>
      <c r="G165" s="14">
        <v>28000.0</v>
      </c>
    </row>
    <row r="166" ht="14.25" hidden="1" customHeight="1">
      <c r="A166" s="12" t="s">
        <v>30</v>
      </c>
      <c r="B166" s="21" t="s">
        <v>247</v>
      </c>
      <c r="C166" s="12" t="s">
        <v>118</v>
      </c>
      <c r="D166" s="38">
        <v>168000.0</v>
      </c>
      <c r="E166" s="14">
        <v>235000.0</v>
      </c>
      <c r="F166" s="14">
        <f t="shared" si="5"/>
        <v>201600</v>
      </c>
      <c r="G166" s="14">
        <v>302000.0</v>
      </c>
    </row>
    <row r="167" ht="14.25" hidden="1" customHeight="1">
      <c r="A167" s="12" t="s">
        <v>30</v>
      </c>
      <c r="B167" s="21" t="s">
        <v>248</v>
      </c>
      <c r="C167" s="12" t="s">
        <v>118</v>
      </c>
      <c r="D167" s="38">
        <v>180000.0</v>
      </c>
      <c r="E167" s="14">
        <v>252000.0</v>
      </c>
      <c r="F167" s="14">
        <f t="shared" si="5"/>
        <v>216000</v>
      </c>
      <c r="G167" s="14">
        <v>324000.0</v>
      </c>
    </row>
    <row r="168" ht="14.25" hidden="1" customHeight="1">
      <c r="A168" s="12" t="s">
        <v>30</v>
      </c>
      <c r="B168" s="21" t="s">
        <v>249</v>
      </c>
      <c r="C168" s="12" t="s">
        <v>17</v>
      </c>
      <c r="D168" s="39">
        <v>48000.0</v>
      </c>
      <c r="E168" s="14">
        <v>67000.0</v>
      </c>
      <c r="F168" s="14">
        <f t="shared" si="5"/>
        <v>57600</v>
      </c>
      <c r="G168" s="14">
        <v>86000.0</v>
      </c>
    </row>
    <row r="169" ht="14.25" hidden="1" customHeight="1">
      <c r="A169" s="12" t="s">
        <v>30</v>
      </c>
      <c r="B169" s="21" t="s">
        <v>250</v>
      </c>
      <c r="C169" s="12" t="s">
        <v>17</v>
      </c>
      <c r="D169" s="39">
        <v>33600.0</v>
      </c>
      <c r="E169" s="14">
        <v>47000.0</v>
      </c>
      <c r="F169" s="14">
        <f t="shared" si="5"/>
        <v>40300</v>
      </c>
      <c r="G169" s="14">
        <v>60000.0</v>
      </c>
    </row>
    <row r="170" ht="14.25" hidden="1" customHeight="1">
      <c r="A170" s="12" t="s">
        <v>30</v>
      </c>
      <c r="B170" s="21" t="s">
        <v>251</v>
      </c>
      <c r="C170" s="12" t="s">
        <v>17</v>
      </c>
      <c r="D170" s="38">
        <v>12000.0</v>
      </c>
      <c r="E170" s="14">
        <v>17000.0</v>
      </c>
      <c r="F170" s="14">
        <f t="shared" si="5"/>
        <v>14400</v>
      </c>
      <c r="G170" s="14">
        <v>22000.0</v>
      </c>
    </row>
    <row r="171" ht="14.25" hidden="1" customHeight="1">
      <c r="A171" s="12" t="s">
        <v>30</v>
      </c>
      <c r="B171" s="12" t="s">
        <v>252</v>
      </c>
      <c r="C171" s="12" t="s">
        <v>17</v>
      </c>
      <c r="D171" s="20">
        <v>18000.0</v>
      </c>
      <c r="E171" s="14">
        <v>25000.0</v>
      </c>
      <c r="F171" s="14">
        <f t="shared" si="5"/>
        <v>21600</v>
      </c>
      <c r="G171" s="14">
        <v>32000.0</v>
      </c>
    </row>
    <row r="172" ht="14.25" hidden="1" customHeight="1">
      <c r="A172" s="12" t="s">
        <v>30</v>
      </c>
      <c r="B172" s="12" t="s">
        <v>253</v>
      </c>
      <c r="C172" s="12" t="s">
        <v>17</v>
      </c>
      <c r="D172" s="20">
        <v>48000.0</v>
      </c>
      <c r="E172" s="14">
        <v>67000.0</v>
      </c>
      <c r="F172" s="14">
        <f t="shared" si="5"/>
        <v>57600</v>
      </c>
      <c r="G172" s="14">
        <v>86000.0</v>
      </c>
    </row>
    <row r="173" ht="14.25" hidden="1" customHeight="1">
      <c r="A173" s="12" t="s">
        <v>30</v>
      </c>
      <c r="B173" s="12" t="s">
        <v>254</v>
      </c>
      <c r="C173" s="12" t="s">
        <v>17</v>
      </c>
      <c r="D173" s="20">
        <v>33600.0</v>
      </c>
      <c r="E173" s="14">
        <v>47000.0</v>
      </c>
      <c r="F173" s="14">
        <f t="shared" si="5"/>
        <v>40300</v>
      </c>
      <c r="G173" s="14">
        <v>60000.0</v>
      </c>
    </row>
    <row r="174" ht="14.25" hidden="1" customHeight="1">
      <c r="A174" s="12" t="s">
        <v>34</v>
      </c>
      <c r="B174" s="12" t="s">
        <v>255</v>
      </c>
      <c r="C174" s="12" t="s">
        <v>17</v>
      </c>
      <c r="D174" s="14">
        <v>22400.0</v>
      </c>
      <c r="E174" s="14">
        <v>36000.0</v>
      </c>
      <c r="F174" s="14">
        <f t="shared" ref="F174:F182" si="6">ROUND(D174+(D174*0.18),-2)</f>
        <v>26400</v>
      </c>
      <c r="G174" s="14">
        <v>45000.0</v>
      </c>
    </row>
    <row r="175" ht="14.25" hidden="1" customHeight="1">
      <c r="A175" s="12" t="s">
        <v>34</v>
      </c>
      <c r="B175" s="12" t="s">
        <v>256</v>
      </c>
      <c r="C175" s="12" t="s">
        <v>257</v>
      </c>
      <c r="D175" s="14">
        <v>22400.0</v>
      </c>
      <c r="E175" s="14">
        <v>36000.0</v>
      </c>
      <c r="F175" s="14">
        <f t="shared" si="6"/>
        <v>26400</v>
      </c>
      <c r="G175" s="14">
        <v>45000.0</v>
      </c>
    </row>
    <row r="176" ht="14.25" hidden="1" customHeight="1">
      <c r="A176" s="12" t="s">
        <v>34</v>
      </c>
      <c r="B176" s="12" t="s">
        <v>258</v>
      </c>
      <c r="C176" s="12" t="s">
        <v>74</v>
      </c>
      <c r="D176" s="14">
        <v>67300.0</v>
      </c>
      <c r="E176" s="14">
        <v>87000.0</v>
      </c>
      <c r="F176" s="14">
        <f t="shared" si="6"/>
        <v>79400</v>
      </c>
      <c r="G176" s="14">
        <v>108000.0</v>
      </c>
    </row>
    <row r="177" ht="14.25" hidden="1" customHeight="1">
      <c r="A177" s="12" t="s">
        <v>34</v>
      </c>
      <c r="B177" s="12" t="s">
        <v>259</v>
      </c>
      <c r="C177" s="12" t="s">
        <v>100</v>
      </c>
      <c r="D177" s="14">
        <v>61400.0</v>
      </c>
      <c r="E177" s="14">
        <v>98000.0</v>
      </c>
      <c r="F177" s="14">
        <f t="shared" si="6"/>
        <v>72500</v>
      </c>
      <c r="G177" s="14">
        <v>123000.0</v>
      </c>
    </row>
    <row r="178" ht="14.25" hidden="1" customHeight="1">
      <c r="A178" s="12" t="s">
        <v>34</v>
      </c>
      <c r="B178" s="12" t="s">
        <v>260</v>
      </c>
      <c r="C178" s="12" t="s">
        <v>100</v>
      </c>
      <c r="D178" s="14">
        <v>61400.0</v>
      </c>
      <c r="E178" s="14">
        <v>98000.0</v>
      </c>
      <c r="F178" s="14">
        <f t="shared" si="6"/>
        <v>72500</v>
      </c>
      <c r="G178" s="14">
        <v>123000.0</v>
      </c>
    </row>
    <row r="179" ht="14.25" hidden="1" customHeight="1">
      <c r="A179" s="12" t="s">
        <v>34</v>
      </c>
      <c r="B179" s="12" t="s">
        <v>261</v>
      </c>
      <c r="C179" s="12" t="s">
        <v>257</v>
      </c>
      <c r="D179" s="14">
        <v>33000.0</v>
      </c>
      <c r="E179" s="14">
        <v>53000.0</v>
      </c>
      <c r="F179" s="14">
        <f t="shared" si="6"/>
        <v>38900</v>
      </c>
      <c r="G179" s="14">
        <v>66000.0</v>
      </c>
    </row>
    <row r="180" ht="14.25" hidden="1" customHeight="1">
      <c r="A180" s="12" t="s">
        <v>34</v>
      </c>
      <c r="B180" s="12" t="s">
        <v>262</v>
      </c>
      <c r="C180" s="12" t="s">
        <v>257</v>
      </c>
      <c r="D180" s="14">
        <v>33000.0</v>
      </c>
      <c r="E180" s="14">
        <v>53000.0</v>
      </c>
      <c r="F180" s="14">
        <f t="shared" si="6"/>
        <v>38900</v>
      </c>
      <c r="G180" s="14">
        <v>66000.0</v>
      </c>
    </row>
    <row r="181" ht="14.25" hidden="1" customHeight="1">
      <c r="A181" s="12" t="s">
        <v>34</v>
      </c>
      <c r="B181" s="12" t="s">
        <v>263</v>
      </c>
      <c r="C181" s="12" t="s">
        <v>187</v>
      </c>
      <c r="D181" s="14">
        <v>29500.0</v>
      </c>
      <c r="E181" s="14">
        <v>47000.0</v>
      </c>
      <c r="F181" s="14">
        <f t="shared" si="6"/>
        <v>34800</v>
      </c>
      <c r="G181" s="14">
        <v>59000.0</v>
      </c>
    </row>
    <row r="182" ht="14.25" hidden="1" customHeight="1">
      <c r="A182" s="12" t="s">
        <v>34</v>
      </c>
      <c r="B182" s="12" t="s">
        <v>264</v>
      </c>
      <c r="C182" s="12" t="s">
        <v>17</v>
      </c>
      <c r="D182" s="14">
        <v>21200.0</v>
      </c>
      <c r="E182" s="14">
        <v>34000.0</v>
      </c>
      <c r="F182" s="14">
        <f t="shared" si="6"/>
        <v>25000</v>
      </c>
      <c r="G182" s="14">
        <v>42000.0</v>
      </c>
    </row>
    <row r="183" ht="14.25" customHeight="1">
      <c r="A183" s="12" t="s">
        <v>37</v>
      </c>
      <c r="B183" s="12" t="s">
        <v>265</v>
      </c>
      <c r="C183" s="12" t="s">
        <v>17</v>
      </c>
      <c r="D183" s="14">
        <v>11200.0</v>
      </c>
      <c r="E183" s="14">
        <v>19000.0</v>
      </c>
      <c r="F183" s="25">
        <v>13000.0</v>
      </c>
      <c r="G183" s="25">
        <v>23000.0</v>
      </c>
    </row>
    <row r="184" ht="14.25" customHeight="1">
      <c r="A184" s="12" t="s">
        <v>37</v>
      </c>
      <c r="B184" s="12" t="s">
        <v>266</v>
      </c>
      <c r="C184" s="12" t="s">
        <v>17</v>
      </c>
      <c r="D184" s="14">
        <v>5900.0</v>
      </c>
      <c r="E184" s="14">
        <v>10000.0</v>
      </c>
      <c r="F184" s="14">
        <f t="shared" ref="F184:F208" si="7">ROUND(D184+(D184*0.18),-2)</f>
        <v>7000</v>
      </c>
      <c r="G184" s="14">
        <v>12000.0</v>
      </c>
    </row>
    <row r="185" ht="14.25" customHeight="1">
      <c r="A185" s="12" t="s">
        <v>37</v>
      </c>
      <c r="B185" s="21" t="s">
        <v>267</v>
      </c>
      <c r="C185" s="12" t="s">
        <v>17</v>
      </c>
      <c r="D185" s="14">
        <v>5300.0</v>
      </c>
      <c r="E185" s="14">
        <v>9000.0</v>
      </c>
      <c r="F185" s="14">
        <f t="shared" si="7"/>
        <v>6300</v>
      </c>
      <c r="G185" s="14">
        <v>11000.0</v>
      </c>
    </row>
    <row r="186" ht="14.25" customHeight="1">
      <c r="A186" s="12" t="s">
        <v>37</v>
      </c>
      <c r="B186" s="12" t="s">
        <v>268</v>
      </c>
      <c r="C186" s="12" t="s">
        <v>17</v>
      </c>
      <c r="D186" s="14">
        <v>4700.0</v>
      </c>
      <c r="E186" s="14">
        <v>8000.0</v>
      </c>
      <c r="F186" s="14">
        <f t="shared" si="7"/>
        <v>5500</v>
      </c>
      <c r="G186" s="14">
        <v>9000.0</v>
      </c>
    </row>
    <row r="187" ht="14.25" customHeight="1">
      <c r="A187" s="12" t="s">
        <v>37</v>
      </c>
      <c r="B187" s="12" t="s">
        <v>269</v>
      </c>
      <c r="C187" s="12" t="s">
        <v>17</v>
      </c>
      <c r="D187" s="14">
        <v>4100.0</v>
      </c>
      <c r="E187" s="14">
        <v>7000.0</v>
      </c>
      <c r="F187" s="14">
        <f t="shared" si="7"/>
        <v>4800</v>
      </c>
      <c r="G187" s="14">
        <v>8000.0</v>
      </c>
    </row>
    <row r="188" ht="14.25" customHeight="1">
      <c r="A188" s="12" t="s">
        <v>37</v>
      </c>
      <c r="B188" s="12" t="s">
        <v>270</v>
      </c>
      <c r="C188" s="12" t="s">
        <v>17</v>
      </c>
      <c r="D188" s="14">
        <v>5300.0</v>
      </c>
      <c r="E188" s="14">
        <v>9000.0</v>
      </c>
      <c r="F188" s="14">
        <f t="shared" si="7"/>
        <v>6300</v>
      </c>
      <c r="G188" s="14">
        <v>11000.0</v>
      </c>
    </row>
    <row r="189" ht="14.25" customHeight="1">
      <c r="A189" s="12" t="s">
        <v>37</v>
      </c>
      <c r="B189" s="12" t="s">
        <v>271</v>
      </c>
      <c r="C189" s="12" t="s">
        <v>17</v>
      </c>
      <c r="D189" s="14">
        <v>4700.0</v>
      </c>
      <c r="E189" s="14">
        <v>8000.0</v>
      </c>
      <c r="F189" s="14">
        <f t="shared" si="7"/>
        <v>5500</v>
      </c>
      <c r="G189" s="14">
        <v>9000.0</v>
      </c>
    </row>
    <row r="190" ht="14.25" customHeight="1">
      <c r="A190" s="12" t="s">
        <v>37</v>
      </c>
      <c r="B190" s="12" t="s">
        <v>272</v>
      </c>
      <c r="C190" s="12" t="s">
        <v>17</v>
      </c>
      <c r="D190" s="14">
        <v>4700.0</v>
      </c>
      <c r="E190" s="14">
        <v>8000.0</v>
      </c>
      <c r="F190" s="14">
        <f t="shared" si="7"/>
        <v>5500</v>
      </c>
      <c r="G190" s="14">
        <v>9000.0</v>
      </c>
    </row>
    <row r="191" ht="14.25" customHeight="1">
      <c r="A191" s="12" t="s">
        <v>37</v>
      </c>
      <c r="B191" s="12" t="s">
        <v>273</v>
      </c>
      <c r="C191" s="12" t="s">
        <v>17</v>
      </c>
      <c r="D191" s="14">
        <v>21200.0</v>
      </c>
      <c r="E191" s="14">
        <v>36000.0</v>
      </c>
      <c r="F191" s="14">
        <f t="shared" si="7"/>
        <v>25000</v>
      </c>
      <c r="G191" s="14">
        <v>42000.0</v>
      </c>
    </row>
    <row r="192" ht="14.25" customHeight="1">
      <c r="A192" s="12" t="s">
        <v>37</v>
      </c>
      <c r="B192" s="12" t="s">
        <v>274</v>
      </c>
      <c r="C192" s="12" t="s">
        <v>17</v>
      </c>
      <c r="D192" s="14">
        <v>3900.0</v>
      </c>
      <c r="E192" s="14">
        <v>7000.0</v>
      </c>
      <c r="F192" s="14">
        <f t="shared" si="7"/>
        <v>4600</v>
      </c>
      <c r="G192" s="14">
        <v>8000.0</v>
      </c>
    </row>
    <row r="193" ht="14.25" customHeight="1">
      <c r="A193" s="12" t="s">
        <v>37</v>
      </c>
      <c r="B193" s="12" t="s">
        <v>275</v>
      </c>
      <c r="C193" s="12" t="s">
        <v>17</v>
      </c>
      <c r="D193" s="14">
        <v>4700.0</v>
      </c>
      <c r="E193" s="14">
        <v>8000.0</v>
      </c>
      <c r="F193" s="14">
        <f t="shared" si="7"/>
        <v>5500</v>
      </c>
      <c r="G193" s="14">
        <v>9000.0</v>
      </c>
    </row>
    <row r="194" ht="14.25" customHeight="1">
      <c r="A194" s="12" t="s">
        <v>37</v>
      </c>
      <c r="B194" s="12" t="s">
        <v>276</v>
      </c>
      <c r="C194" s="12" t="s">
        <v>17</v>
      </c>
      <c r="D194" s="14">
        <v>4700.0</v>
      </c>
      <c r="E194" s="14">
        <v>8000.0</v>
      </c>
      <c r="F194" s="14">
        <f t="shared" si="7"/>
        <v>5500</v>
      </c>
      <c r="G194" s="14">
        <v>9000.0</v>
      </c>
    </row>
    <row r="195" ht="14.25" customHeight="1">
      <c r="A195" s="12" t="s">
        <v>37</v>
      </c>
      <c r="B195" s="12" t="s">
        <v>277</v>
      </c>
      <c r="C195" s="12" t="s">
        <v>17</v>
      </c>
      <c r="D195" s="14">
        <v>4700.0</v>
      </c>
      <c r="E195" s="14">
        <v>8000.0</v>
      </c>
      <c r="F195" s="14">
        <f t="shared" si="7"/>
        <v>5500</v>
      </c>
      <c r="G195" s="14">
        <v>9000.0</v>
      </c>
    </row>
    <row r="196" ht="14.25" customHeight="1">
      <c r="A196" s="12" t="s">
        <v>37</v>
      </c>
      <c r="B196" s="12" t="s">
        <v>278</v>
      </c>
      <c r="C196" s="12" t="s">
        <v>17</v>
      </c>
      <c r="D196" s="14">
        <v>4700.0</v>
      </c>
      <c r="E196" s="14">
        <v>8000.0</v>
      </c>
      <c r="F196" s="14">
        <f t="shared" si="7"/>
        <v>5500</v>
      </c>
      <c r="G196" s="14">
        <v>9000.0</v>
      </c>
    </row>
    <row r="197" ht="14.25" customHeight="1">
      <c r="A197" s="12" t="s">
        <v>37</v>
      </c>
      <c r="B197" s="12" t="s">
        <v>279</v>
      </c>
      <c r="C197" s="12" t="s">
        <v>17</v>
      </c>
      <c r="D197" s="14">
        <v>4700.0</v>
      </c>
      <c r="E197" s="14">
        <v>8000.0</v>
      </c>
      <c r="F197" s="14">
        <f t="shared" si="7"/>
        <v>5500</v>
      </c>
      <c r="G197" s="14">
        <v>9000.0</v>
      </c>
    </row>
    <row r="198" ht="14.25" customHeight="1">
      <c r="A198" s="12" t="s">
        <v>37</v>
      </c>
      <c r="B198" s="12" t="s">
        <v>280</v>
      </c>
      <c r="C198" s="12" t="s">
        <v>17</v>
      </c>
      <c r="D198" s="14">
        <v>4700.0</v>
      </c>
      <c r="E198" s="14">
        <v>8000.0</v>
      </c>
      <c r="F198" s="14">
        <f t="shared" si="7"/>
        <v>5500</v>
      </c>
      <c r="G198" s="14">
        <v>9000.0</v>
      </c>
    </row>
    <row r="199" ht="14.25" customHeight="1">
      <c r="A199" s="12" t="s">
        <v>37</v>
      </c>
      <c r="B199" s="12" t="s">
        <v>281</v>
      </c>
      <c r="C199" s="12" t="s">
        <v>17</v>
      </c>
      <c r="D199" s="14">
        <v>4700.0</v>
      </c>
      <c r="E199" s="14">
        <v>8000.0</v>
      </c>
      <c r="F199" s="14">
        <f t="shared" si="7"/>
        <v>5500</v>
      </c>
      <c r="G199" s="14">
        <v>9000.0</v>
      </c>
    </row>
    <row r="200" ht="14.25" customHeight="1">
      <c r="A200" s="12" t="s">
        <v>37</v>
      </c>
      <c r="B200" s="12" t="s">
        <v>282</v>
      </c>
      <c r="C200" s="12" t="s">
        <v>17</v>
      </c>
      <c r="D200" s="14">
        <v>4700.0</v>
      </c>
      <c r="E200" s="14">
        <v>8000.0</v>
      </c>
      <c r="F200" s="14">
        <f t="shared" si="7"/>
        <v>5500</v>
      </c>
      <c r="G200" s="14">
        <v>9000.0</v>
      </c>
    </row>
    <row r="201" ht="14.25" customHeight="1">
      <c r="A201" s="12" t="s">
        <v>37</v>
      </c>
      <c r="B201" s="12" t="s">
        <v>283</v>
      </c>
      <c r="C201" s="12" t="s">
        <v>17</v>
      </c>
      <c r="D201" s="14">
        <v>3300.0</v>
      </c>
      <c r="E201" s="14">
        <v>6000.0</v>
      </c>
      <c r="F201" s="14">
        <f t="shared" si="7"/>
        <v>3900</v>
      </c>
      <c r="G201" s="14">
        <v>7000.0</v>
      </c>
    </row>
    <row r="202" ht="14.25" customHeight="1">
      <c r="A202" s="12" t="s">
        <v>37</v>
      </c>
      <c r="B202" s="12" t="s">
        <v>284</v>
      </c>
      <c r="C202" s="12" t="s">
        <v>17</v>
      </c>
      <c r="D202" s="14">
        <v>4500.0</v>
      </c>
      <c r="E202" s="14">
        <v>8000.0</v>
      </c>
      <c r="F202" s="14">
        <f t="shared" si="7"/>
        <v>5300</v>
      </c>
      <c r="G202" s="14">
        <v>9000.0</v>
      </c>
    </row>
    <row r="203" ht="14.25" customHeight="1">
      <c r="A203" s="12" t="s">
        <v>37</v>
      </c>
      <c r="B203" s="12" t="s">
        <v>285</v>
      </c>
      <c r="C203" s="12" t="s">
        <v>17</v>
      </c>
      <c r="D203" s="20">
        <v>4500.0</v>
      </c>
      <c r="E203" s="14">
        <v>8000.0</v>
      </c>
      <c r="F203" s="14">
        <f t="shared" si="7"/>
        <v>5300</v>
      </c>
      <c r="G203" s="14">
        <v>9000.0</v>
      </c>
    </row>
    <row r="204" ht="14.25" customHeight="1">
      <c r="A204" s="12" t="s">
        <v>37</v>
      </c>
      <c r="B204" s="12" t="s">
        <v>286</v>
      </c>
      <c r="C204" s="12" t="s">
        <v>17</v>
      </c>
      <c r="D204" s="20">
        <v>3500.0</v>
      </c>
      <c r="E204" s="14">
        <v>6000.0</v>
      </c>
      <c r="F204" s="14">
        <f t="shared" si="7"/>
        <v>4100</v>
      </c>
      <c r="G204" s="14">
        <v>7000.0</v>
      </c>
    </row>
    <row r="205" ht="14.25" customHeight="1">
      <c r="A205" s="12" t="s">
        <v>37</v>
      </c>
      <c r="B205" s="21" t="s">
        <v>287</v>
      </c>
      <c r="C205" s="12" t="s">
        <v>17</v>
      </c>
      <c r="D205" s="20">
        <v>6500.0</v>
      </c>
      <c r="E205" s="14">
        <v>11000.0</v>
      </c>
      <c r="F205" s="14">
        <f t="shared" si="7"/>
        <v>7700</v>
      </c>
      <c r="G205" s="14">
        <v>13000.0</v>
      </c>
    </row>
    <row r="206" ht="14.25" customHeight="1">
      <c r="A206" s="12" t="s">
        <v>37</v>
      </c>
      <c r="B206" s="12" t="s">
        <v>288</v>
      </c>
      <c r="C206" s="12" t="s">
        <v>17</v>
      </c>
      <c r="D206" s="20">
        <v>6500.0</v>
      </c>
      <c r="E206" s="14">
        <v>11000.0</v>
      </c>
      <c r="F206" s="14">
        <f t="shared" si="7"/>
        <v>7700</v>
      </c>
      <c r="G206" s="14">
        <v>13000.0</v>
      </c>
    </row>
    <row r="207" ht="14.25" customHeight="1">
      <c r="A207" s="12" t="s">
        <v>37</v>
      </c>
      <c r="B207" s="12" t="s">
        <v>289</v>
      </c>
      <c r="C207" s="12" t="s">
        <v>17</v>
      </c>
      <c r="D207" s="20">
        <v>3000.0</v>
      </c>
      <c r="E207" s="14">
        <v>5000.0</v>
      </c>
      <c r="F207" s="14">
        <f t="shared" si="7"/>
        <v>3500</v>
      </c>
      <c r="G207" s="40">
        <v>6000.0</v>
      </c>
    </row>
    <row r="208" ht="14.25" customHeight="1">
      <c r="A208" s="12" t="s">
        <v>37</v>
      </c>
      <c r="B208" s="23" t="s">
        <v>290</v>
      </c>
      <c r="C208" s="12"/>
      <c r="D208" s="20">
        <v>3500.0</v>
      </c>
      <c r="E208" s="14">
        <v>6000.0</v>
      </c>
      <c r="F208" s="14">
        <f t="shared" si="7"/>
        <v>4100</v>
      </c>
      <c r="G208" s="14">
        <v>7000.0</v>
      </c>
    </row>
    <row r="209" ht="14.25" customHeight="1">
      <c r="A209" s="12" t="s">
        <v>37</v>
      </c>
      <c r="B209" s="23" t="s">
        <v>291</v>
      </c>
      <c r="C209" s="12"/>
      <c r="D209" s="24">
        <v>17000.0</v>
      </c>
      <c r="E209" s="25">
        <v>25000.0</v>
      </c>
      <c r="F209" s="25">
        <v>17000.0</v>
      </c>
      <c r="G209" s="41">
        <v>32000.0</v>
      </c>
    </row>
    <row r="210" ht="14.25" customHeight="1">
      <c r="A210" s="12" t="s">
        <v>37</v>
      </c>
      <c r="B210" s="23" t="s">
        <v>292</v>
      </c>
      <c r="D210" s="24">
        <v>17000.0</v>
      </c>
      <c r="E210" s="25">
        <v>25000.0</v>
      </c>
      <c r="F210" s="25">
        <v>17000.0</v>
      </c>
      <c r="G210" s="41">
        <v>32000.0</v>
      </c>
    </row>
    <row r="211" ht="14.25" customHeight="1">
      <c r="A211" s="12" t="s">
        <v>37</v>
      </c>
      <c r="B211" s="23" t="s">
        <v>293</v>
      </c>
      <c r="D211" s="24">
        <v>17500.0</v>
      </c>
      <c r="E211" s="25">
        <v>25000.0</v>
      </c>
      <c r="F211" s="25">
        <v>17500.0</v>
      </c>
      <c r="G211" s="14">
        <v>35000.0</v>
      </c>
    </row>
    <row r="212" ht="14.25" customHeight="1">
      <c r="A212" s="12" t="s">
        <v>37</v>
      </c>
      <c r="B212" s="12" t="s">
        <v>294</v>
      </c>
      <c r="D212" s="34"/>
      <c r="E212" s="41">
        <v>18000.0</v>
      </c>
      <c r="F212" s="35">
        <v>12000.0</v>
      </c>
      <c r="G212" s="41">
        <v>22000.0</v>
      </c>
    </row>
    <row r="213" ht="14.25" customHeight="1">
      <c r="A213" s="12" t="s">
        <v>37</v>
      </c>
      <c r="B213" s="12" t="s">
        <v>295</v>
      </c>
      <c r="D213" s="34"/>
      <c r="E213" s="35">
        <v>26000.0</v>
      </c>
      <c r="F213" s="35">
        <v>16000.0</v>
      </c>
      <c r="G213" s="41">
        <v>31000.0</v>
      </c>
    </row>
    <row r="214" ht="14.25" customHeight="1">
      <c r="A214" s="12" t="s">
        <v>37</v>
      </c>
      <c r="B214" s="12" t="s">
        <v>296</v>
      </c>
      <c r="D214" s="34"/>
      <c r="E214" s="41">
        <v>12000.0</v>
      </c>
      <c r="F214" s="35">
        <v>8500.0</v>
      </c>
      <c r="G214" s="41">
        <v>14000.0</v>
      </c>
    </row>
    <row r="215" ht="14.25" customHeight="1">
      <c r="A215" s="12" t="s">
        <v>37</v>
      </c>
      <c r="B215" s="12" t="s">
        <v>297</v>
      </c>
      <c r="D215" s="34"/>
      <c r="E215" s="41">
        <v>9000.0</v>
      </c>
      <c r="F215" s="35">
        <v>6000.0</v>
      </c>
      <c r="G215" s="41">
        <v>11000.0</v>
      </c>
    </row>
    <row r="216" ht="14.25" customHeight="1">
      <c r="A216" s="12" t="s">
        <v>37</v>
      </c>
      <c r="B216" s="12" t="s">
        <v>298</v>
      </c>
      <c r="D216" s="34"/>
      <c r="E216" s="41">
        <v>20000.0</v>
      </c>
      <c r="F216" s="35">
        <v>12500.0</v>
      </c>
      <c r="G216" s="41">
        <v>24000.0</v>
      </c>
    </row>
    <row r="217" ht="14.25" customHeight="1">
      <c r="A217" s="12" t="s">
        <v>37</v>
      </c>
      <c r="B217" s="12" t="s">
        <v>299</v>
      </c>
      <c r="D217" s="34"/>
      <c r="E217" s="41">
        <v>18000.0</v>
      </c>
      <c r="F217" s="35">
        <v>12000.0</v>
      </c>
      <c r="G217" s="41">
        <v>22000.0</v>
      </c>
    </row>
    <row r="218" ht="14.25" customHeight="1">
      <c r="A218" s="12" t="s">
        <v>37</v>
      </c>
      <c r="B218" s="12" t="s">
        <v>300</v>
      </c>
      <c r="D218" s="34"/>
      <c r="E218" s="41">
        <v>16000.0</v>
      </c>
      <c r="F218" s="35">
        <v>9000.0</v>
      </c>
      <c r="G218" s="41">
        <v>19000.0</v>
      </c>
    </row>
    <row r="219" ht="14.25" customHeight="1">
      <c r="A219" s="12" t="s">
        <v>37</v>
      </c>
      <c r="B219" s="12" t="s">
        <v>301</v>
      </c>
      <c r="D219" s="34"/>
      <c r="E219" s="41">
        <v>20000.0</v>
      </c>
      <c r="F219" s="35">
        <v>12500.0</v>
      </c>
      <c r="G219" s="41">
        <v>24000.0</v>
      </c>
    </row>
    <row r="220" ht="14.25" customHeight="1">
      <c r="A220" s="12" t="s">
        <v>37</v>
      </c>
      <c r="B220" s="12" t="s">
        <v>302</v>
      </c>
      <c r="D220" s="34"/>
      <c r="E220" s="41">
        <v>16000.0</v>
      </c>
      <c r="F220" s="35">
        <v>9000.0</v>
      </c>
      <c r="G220" s="41">
        <v>19000.0</v>
      </c>
    </row>
    <row r="221" ht="14.25" customHeight="1">
      <c r="A221" s="12" t="s">
        <v>37</v>
      </c>
      <c r="B221" s="12" t="s">
        <v>303</v>
      </c>
      <c r="D221" s="34"/>
      <c r="E221" s="41">
        <v>8000.0</v>
      </c>
      <c r="F221" s="35">
        <v>5000.0</v>
      </c>
      <c r="G221" s="41">
        <v>10000.0</v>
      </c>
    </row>
    <row r="222" ht="14.25" customHeight="1">
      <c r="A222" s="12" t="s">
        <v>37</v>
      </c>
      <c r="B222" s="12" t="s">
        <v>304</v>
      </c>
      <c r="D222" s="34"/>
      <c r="E222" s="41">
        <v>24000.0</v>
      </c>
      <c r="F222" s="35">
        <v>14000.0</v>
      </c>
      <c r="G222" s="41">
        <v>29000.0</v>
      </c>
    </row>
    <row r="223" ht="14.25" customHeight="1">
      <c r="A223" s="12" t="s">
        <v>37</v>
      </c>
      <c r="B223" s="12" t="s">
        <v>305</v>
      </c>
      <c r="D223" s="34"/>
      <c r="E223" s="41">
        <v>21000.0</v>
      </c>
      <c r="F223" s="35">
        <v>13000.0</v>
      </c>
      <c r="G223" s="41">
        <v>25000.0</v>
      </c>
    </row>
    <row r="224" ht="14.25" customHeight="1">
      <c r="A224" s="12" t="s">
        <v>37</v>
      </c>
      <c r="B224" s="12" t="s">
        <v>306</v>
      </c>
      <c r="D224" s="34"/>
      <c r="E224" s="41">
        <v>16000.0</v>
      </c>
      <c r="F224" s="35">
        <v>9000.0</v>
      </c>
      <c r="G224" s="41">
        <v>19000.0</v>
      </c>
    </row>
    <row r="225" ht="14.25" customHeight="1">
      <c r="A225" s="12" t="s">
        <v>37</v>
      </c>
      <c r="B225" s="12" t="s">
        <v>307</v>
      </c>
      <c r="D225" s="34"/>
      <c r="E225" s="41">
        <v>25000.0</v>
      </c>
      <c r="F225" s="25">
        <v>17500.0</v>
      </c>
      <c r="G225" s="41">
        <v>30000.0</v>
      </c>
    </row>
    <row r="226" ht="14.25" customHeight="1">
      <c r="A226" s="12" t="s">
        <v>37</v>
      </c>
      <c r="B226" s="12" t="s">
        <v>308</v>
      </c>
      <c r="D226" s="34"/>
      <c r="E226" s="41">
        <v>16000.0</v>
      </c>
      <c r="F226" s="35">
        <v>9000.0</v>
      </c>
      <c r="G226" s="41">
        <v>19000.0</v>
      </c>
    </row>
    <row r="227" ht="14.25" customHeight="1">
      <c r="A227" s="12" t="s">
        <v>37</v>
      </c>
      <c r="B227" s="12" t="s">
        <v>309</v>
      </c>
      <c r="D227" s="34"/>
      <c r="E227" s="41">
        <v>17000.0</v>
      </c>
      <c r="F227" s="35">
        <v>11000.0</v>
      </c>
      <c r="G227" s="41">
        <v>20000.0</v>
      </c>
    </row>
    <row r="228" ht="14.25" customHeight="1">
      <c r="A228" s="12" t="s">
        <v>37</v>
      </c>
      <c r="B228" s="12" t="s">
        <v>310</v>
      </c>
      <c r="D228" s="34"/>
      <c r="E228" s="41">
        <v>17000.0</v>
      </c>
      <c r="F228" s="35">
        <v>11000.0</v>
      </c>
      <c r="G228" s="41">
        <v>20000.0</v>
      </c>
    </row>
    <row r="229" ht="14.25" customHeight="1">
      <c r="A229" s="12" t="s">
        <v>37</v>
      </c>
      <c r="B229" s="12" t="s">
        <v>311</v>
      </c>
      <c r="D229" s="34"/>
      <c r="E229" s="41">
        <v>17000.0</v>
      </c>
      <c r="F229" s="35">
        <v>11000.0</v>
      </c>
      <c r="G229" s="41">
        <v>20000.0</v>
      </c>
    </row>
    <row r="230" ht="14.25" customHeight="1">
      <c r="A230" s="12" t="s">
        <v>37</v>
      </c>
      <c r="B230" s="12" t="s">
        <v>312</v>
      </c>
      <c r="D230" s="34"/>
      <c r="E230" s="41">
        <v>22000.0</v>
      </c>
      <c r="F230" s="35">
        <v>15000.0</v>
      </c>
      <c r="G230" s="41">
        <v>26000.0</v>
      </c>
    </row>
    <row r="231" ht="14.25" customHeight="1">
      <c r="A231" s="12" t="s">
        <v>37</v>
      </c>
      <c r="B231" s="12" t="s">
        <v>313</v>
      </c>
      <c r="D231" s="34"/>
      <c r="E231" s="41">
        <v>10000.0</v>
      </c>
      <c r="F231" s="35">
        <v>6500.0</v>
      </c>
      <c r="G231" s="41">
        <v>12000.0</v>
      </c>
    </row>
    <row r="232" ht="14.25" customHeight="1">
      <c r="A232" s="12" t="s">
        <v>37</v>
      </c>
      <c r="B232" s="12" t="s">
        <v>314</v>
      </c>
      <c r="D232" s="34"/>
      <c r="E232" s="41">
        <v>18000.0</v>
      </c>
      <c r="F232" s="35">
        <v>12000.0</v>
      </c>
      <c r="G232" s="41">
        <v>22000.0</v>
      </c>
    </row>
    <row r="233" ht="14.25" customHeight="1">
      <c r="A233" s="12" t="s">
        <v>37</v>
      </c>
      <c r="B233" s="12" t="s">
        <v>315</v>
      </c>
      <c r="D233" s="34"/>
      <c r="E233" s="41">
        <v>16000.0</v>
      </c>
      <c r="F233" s="35">
        <v>9000.0</v>
      </c>
      <c r="G233" s="41">
        <v>19000.0</v>
      </c>
    </row>
    <row r="234" ht="14.25" customHeight="1">
      <c r="A234" s="12" t="s">
        <v>37</v>
      </c>
      <c r="B234" s="12" t="s">
        <v>316</v>
      </c>
      <c r="D234" s="34"/>
      <c r="E234" s="41">
        <v>20000.0</v>
      </c>
      <c r="F234" s="35">
        <v>12500.0</v>
      </c>
      <c r="G234" s="41">
        <v>24000.0</v>
      </c>
    </row>
    <row r="235" ht="14.25" customHeight="1">
      <c r="A235" s="12" t="s">
        <v>37</v>
      </c>
      <c r="B235" s="12" t="s">
        <v>317</v>
      </c>
      <c r="D235" s="34"/>
      <c r="E235" s="41">
        <v>18000.0</v>
      </c>
      <c r="F235" s="35">
        <v>12000.0</v>
      </c>
      <c r="G235" s="41">
        <v>22000.0</v>
      </c>
    </row>
    <row r="236" ht="14.25" customHeight="1">
      <c r="A236" s="12" t="s">
        <v>37</v>
      </c>
      <c r="B236" s="13" t="s">
        <v>318</v>
      </c>
      <c r="D236" s="34"/>
      <c r="E236" s="41">
        <v>24000.0</v>
      </c>
      <c r="F236" s="35">
        <v>14000.0</v>
      </c>
      <c r="G236" s="41">
        <v>29000.0</v>
      </c>
    </row>
    <row r="237" ht="14.25" customHeight="1">
      <c r="A237" s="12" t="s">
        <v>37</v>
      </c>
      <c r="B237" s="12" t="s">
        <v>319</v>
      </c>
      <c r="D237" s="34"/>
      <c r="E237" s="41">
        <v>22000.0</v>
      </c>
      <c r="F237" s="35">
        <v>15000.0</v>
      </c>
      <c r="G237" s="41">
        <v>26000.0</v>
      </c>
    </row>
    <row r="238" ht="14.25" customHeight="1">
      <c r="A238" s="12" t="s">
        <v>37</v>
      </c>
      <c r="B238" s="13" t="s">
        <v>320</v>
      </c>
      <c r="D238" s="34"/>
      <c r="E238" s="41">
        <v>16000.0</v>
      </c>
      <c r="F238" s="35">
        <v>9000.0</v>
      </c>
      <c r="G238" s="41">
        <v>19000.0</v>
      </c>
    </row>
    <row r="239" ht="14.25" customHeight="1">
      <c r="A239" s="12" t="s">
        <v>37</v>
      </c>
      <c r="B239" s="12" t="s">
        <v>321</v>
      </c>
      <c r="D239" s="34"/>
      <c r="E239" s="41">
        <v>26000.0</v>
      </c>
      <c r="F239" s="35">
        <v>16000.0</v>
      </c>
      <c r="G239" s="41">
        <v>31000.0</v>
      </c>
    </row>
    <row r="240" ht="14.25" customHeight="1">
      <c r="A240" s="12" t="s">
        <v>37</v>
      </c>
      <c r="B240" s="12" t="s">
        <v>322</v>
      </c>
      <c r="D240" s="34"/>
      <c r="E240" s="41">
        <v>30000.0</v>
      </c>
      <c r="F240" s="35">
        <v>16000.0</v>
      </c>
      <c r="G240" s="41">
        <v>36000.0</v>
      </c>
    </row>
    <row r="241" ht="14.25" customHeight="1">
      <c r="A241" s="12" t="s">
        <v>37</v>
      </c>
      <c r="B241" s="12" t="s">
        <v>323</v>
      </c>
      <c r="D241" s="34"/>
      <c r="E241" s="41">
        <v>20000.0</v>
      </c>
      <c r="F241" s="35">
        <v>12500.0</v>
      </c>
      <c r="G241" s="41">
        <v>24000.0</v>
      </c>
    </row>
    <row r="242" ht="14.25" customHeight="1">
      <c r="A242" s="12" t="s">
        <v>37</v>
      </c>
      <c r="B242" s="12" t="s">
        <v>324</v>
      </c>
      <c r="D242" s="34"/>
      <c r="E242" s="41">
        <v>13000.0</v>
      </c>
      <c r="F242" s="35">
        <v>9000.0</v>
      </c>
      <c r="G242" s="41">
        <v>16000.0</v>
      </c>
    </row>
    <row r="243" ht="14.25" customHeight="1">
      <c r="A243" s="12" t="s">
        <v>37</v>
      </c>
      <c r="B243" s="12" t="s">
        <v>325</v>
      </c>
      <c r="D243" s="34"/>
      <c r="E243" s="41">
        <v>22000.0</v>
      </c>
      <c r="F243" s="35">
        <v>15000.0</v>
      </c>
      <c r="G243" s="41">
        <v>26000.0</v>
      </c>
    </row>
    <row r="244" ht="14.25" customHeight="1">
      <c r="A244" s="12" t="s">
        <v>37</v>
      </c>
      <c r="B244" s="13" t="s">
        <v>326</v>
      </c>
      <c r="D244" s="34"/>
      <c r="E244" s="41">
        <v>17000.0</v>
      </c>
      <c r="F244" s="35">
        <v>11000.0</v>
      </c>
      <c r="G244" s="41">
        <v>20000.0</v>
      </c>
    </row>
    <row r="245" ht="14.25" customHeight="1">
      <c r="A245" s="12" t="s">
        <v>37</v>
      </c>
      <c r="B245" s="12" t="s">
        <v>327</v>
      </c>
      <c r="D245" s="34"/>
      <c r="E245" s="41">
        <v>18000.0</v>
      </c>
      <c r="F245" s="35">
        <v>12000.0</v>
      </c>
      <c r="G245" s="41">
        <v>22000.0</v>
      </c>
    </row>
    <row r="246" ht="14.25" customHeight="1">
      <c r="A246" s="12" t="s">
        <v>37</v>
      </c>
      <c r="B246" s="12" t="s">
        <v>328</v>
      </c>
      <c r="D246" s="34"/>
      <c r="E246" s="41">
        <v>12000.0</v>
      </c>
      <c r="F246" s="35">
        <v>8500.0</v>
      </c>
      <c r="G246" s="41">
        <v>14000.0</v>
      </c>
    </row>
    <row r="247" ht="14.25" customHeight="1">
      <c r="A247" s="12" t="s">
        <v>37</v>
      </c>
      <c r="B247" s="12" t="s">
        <v>329</v>
      </c>
      <c r="D247" s="34"/>
      <c r="E247" s="41">
        <v>12000.0</v>
      </c>
      <c r="F247" s="35">
        <v>8500.0</v>
      </c>
      <c r="G247" s="41">
        <v>14000.0</v>
      </c>
    </row>
    <row r="248" ht="14.25" customHeight="1">
      <c r="A248" s="12" t="s">
        <v>37</v>
      </c>
      <c r="B248" s="12" t="s">
        <v>330</v>
      </c>
      <c r="D248" s="34"/>
      <c r="E248" s="41">
        <v>16000.0</v>
      </c>
      <c r="F248" s="35">
        <v>9000.0</v>
      </c>
      <c r="G248" s="41">
        <v>19000.0</v>
      </c>
    </row>
    <row r="249" ht="14.25" customHeight="1">
      <c r="A249" s="12" t="s">
        <v>37</v>
      </c>
      <c r="B249" s="12" t="s">
        <v>331</v>
      </c>
      <c r="D249" s="34"/>
      <c r="E249" s="41">
        <v>8000.0</v>
      </c>
      <c r="F249" s="35">
        <v>5000.0</v>
      </c>
      <c r="G249" s="41">
        <v>10000.0</v>
      </c>
    </row>
    <row r="250" ht="14.25" customHeight="1">
      <c r="A250" s="12" t="s">
        <v>37</v>
      </c>
      <c r="B250" s="12" t="s">
        <v>332</v>
      </c>
      <c r="D250" s="34"/>
      <c r="E250" s="41">
        <v>24000.0</v>
      </c>
      <c r="F250" s="35">
        <v>16000.0</v>
      </c>
      <c r="G250" s="41">
        <v>29000.0</v>
      </c>
    </row>
    <row r="251" ht="14.25" customHeight="1">
      <c r="A251" s="12" t="s">
        <v>37</v>
      </c>
      <c r="B251" s="12" t="s">
        <v>299</v>
      </c>
      <c r="D251" s="34"/>
      <c r="E251" s="41">
        <v>16000.0</v>
      </c>
      <c r="F251" s="35">
        <v>9000.0</v>
      </c>
      <c r="G251" s="41">
        <v>19000.0</v>
      </c>
    </row>
    <row r="252" ht="14.25" customHeight="1">
      <c r="A252" s="12" t="s">
        <v>37</v>
      </c>
      <c r="B252" s="12" t="s">
        <v>333</v>
      </c>
      <c r="D252" s="34"/>
      <c r="E252" s="41">
        <v>20000.0</v>
      </c>
      <c r="F252" s="35">
        <v>12500.0</v>
      </c>
      <c r="G252" s="41">
        <v>24000.0</v>
      </c>
    </row>
    <row r="253" ht="14.25" customHeight="1">
      <c r="A253" s="12" t="s">
        <v>37</v>
      </c>
      <c r="B253" s="12" t="s">
        <v>334</v>
      </c>
      <c r="D253" s="34"/>
      <c r="E253" s="41">
        <v>26000.0</v>
      </c>
      <c r="F253" s="35">
        <v>16000.0</v>
      </c>
      <c r="G253" s="41">
        <v>31000.0</v>
      </c>
    </row>
    <row r="254" ht="14.25" customHeight="1">
      <c r="A254" s="12" t="s">
        <v>37</v>
      </c>
      <c r="B254" s="12" t="s">
        <v>335</v>
      </c>
      <c r="D254" s="34"/>
      <c r="E254" s="41">
        <v>22000.0</v>
      </c>
      <c r="F254" s="35">
        <v>15000.0</v>
      </c>
      <c r="G254" s="41">
        <v>26000.0</v>
      </c>
    </row>
    <row r="255" ht="14.25" customHeight="1">
      <c r="A255" s="12" t="s">
        <v>37</v>
      </c>
      <c r="B255" s="12" t="s">
        <v>336</v>
      </c>
      <c r="D255" s="34"/>
      <c r="E255" s="41">
        <v>27000.0</v>
      </c>
      <c r="F255" s="35">
        <v>17000.0</v>
      </c>
      <c r="G255" s="41">
        <v>32000.0</v>
      </c>
    </row>
    <row r="256" ht="14.25" customHeight="1">
      <c r="A256" s="12" t="s">
        <v>37</v>
      </c>
      <c r="B256" s="12" t="s">
        <v>337</v>
      </c>
      <c r="D256" s="34"/>
      <c r="E256" s="41">
        <v>17000.0</v>
      </c>
      <c r="F256" s="35">
        <v>11000.0</v>
      </c>
      <c r="G256" s="41">
        <v>20000.0</v>
      </c>
    </row>
    <row r="257" ht="14.25" customHeight="1">
      <c r="A257" s="12" t="s">
        <v>37</v>
      </c>
      <c r="B257" s="12" t="s">
        <v>338</v>
      </c>
      <c r="D257" s="34"/>
      <c r="E257" s="41">
        <v>20000.0</v>
      </c>
      <c r="F257" s="35">
        <v>12500.0</v>
      </c>
      <c r="G257" s="41">
        <v>24000.0</v>
      </c>
    </row>
    <row r="258" ht="14.25" customHeight="1">
      <c r="A258" s="12" t="s">
        <v>37</v>
      </c>
      <c r="B258" s="12" t="s">
        <v>339</v>
      </c>
      <c r="D258" s="34"/>
      <c r="E258" s="41">
        <v>28000.0</v>
      </c>
      <c r="F258" s="35">
        <v>17000.0</v>
      </c>
      <c r="G258" s="41">
        <v>32000.0</v>
      </c>
    </row>
    <row r="259" ht="14.25" customHeight="1">
      <c r="A259" s="12" t="s">
        <v>37</v>
      </c>
      <c r="B259" s="12" t="s">
        <v>340</v>
      </c>
      <c r="D259" s="34"/>
      <c r="E259" s="41">
        <v>22000.0</v>
      </c>
      <c r="F259" s="35">
        <v>15000.0</v>
      </c>
      <c r="G259" s="41">
        <v>26000.0</v>
      </c>
    </row>
    <row r="260" ht="14.25" customHeight="1">
      <c r="A260" s="12" t="s">
        <v>37</v>
      </c>
      <c r="B260" s="12" t="s">
        <v>341</v>
      </c>
      <c r="D260" s="34"/>
      <c r="E260" s="41">
        <v>24000.0</v>
      </c>
      <c r="F260" s="35">
        <v>16000.0</v>
      </c>
      <c r="G260" s="41">
        <v>29000.0</v>
      </c>
    </row>
    <row r="261" ht="14.25" customHeight="1">
      <c r="A261" s="12" t="s">
        <v>37</v>
      </c>
      <c r="B261" s="12" t="s">
        <v>342</v>
      </c>
      <c r="D261" s="34"/>
      <c r="E261" s="41">
        <v>12000.0</v>
      </c>
      <c r="F261" s="35">
        <v>8500.0</v>
      </c>
      <c r="G261" s="41">
        <v>14000.0</v>
      </c>
    </row>
    <row r="262" ht="14.25" customHeight="1">
      <c r="A262" s="12" t="s">
        <v>37</v>
      </c>
      <c r="B262" s="12" t="s">
        <v>343</v>
      </c>
      <c r="D262" s="34"/>
      <c r="E262" s="41">
        <v>27000.0</v>
      </c>
      <c r="F262" s="35">
        <v>17000.0</v>
      </c>
      <c r="G262" s="41">
        <v>32000.0</v>
      </c>
    </row>
    <row r="263" ht="14.25" customHeight="1">
      <c r="A263" s="12" t="s">
        <v>37</v>
      </c>
      <c r="B263" s="12" t="s">
        <v>344</v>
      </c>
      <c r="D263" s="34"/>
      <c r="E263" s="41">
        <v>22000.0</v>
      </c>
      <c r="F263" s="35">
        <v>15000.0</v>
      </c>
      <c r="G263" s="41">
        <v>26000.0</v>
      </c>
    </row>
    <row r="264" ht="14.25" customHeight="1">
      <c r="A264" s="12" t="s">
        <v>37</v>
      </c>
      <c r="B264" s="12" t="s">
        <v>345</v>
      </c>
      <c r="D264" s="34"/>
      <c r="E264" s="41">
        <v>10000.0</v>
      </c>
      <c r="F264" s="35">
        <v>6500.0</v>
      </c>
      <c r="G264" s="41">
        <v>12000.0</v>
      </c>
    </row>
    <row r="265" ht="14.25" customHeight="1">
      <c r="A265" s="12" t="s">
        <v>37</v>
      </c>
      <c r="B265" s="23" t="s">
        <v>346</v>
      </c>
      <c r="D265" s="34"/>
      <c r="E265" s="41">
        <v>12000.0</v>
      </c>
      <c r="F265" s="35">
        <v>8500.0</v>
      </c>
      <c r="G265" s="41">
        <v>14000.0</v>
      </c>
    </row>
    <row r="266" ht="14.25" customHeight="1">
      <c r="A266" s="12" t="s">
        <v>37</v>
      </c>
      <c r="B266" s="12" t="s">
        <v>347</v>
      </c>
      <c r="D266" s="34"/>
      <c r="E266" s="41">
        <v>19000.0</v>
      </c>
      <c r="F266" s="25">
        <v>13000.0</v>
      </c>
      <c r="G266" s="41">
        <v>23000.0</v>
      </c>
    </row>
    <row r="267" ht="14.25" customHeight="1">
      <c r="A267" s="12" t="s">
        <v>37</v>
      </c>
      <c r="B267" s="12" t="s">
        <v>348</v>
      </c>
      <c r="D267" s="34"/>
      <c r="E267" s="41">
        <v>32000.0</v>
      </c>
      <c r="F267" s="35">
        <v>16500.0</v>
      </c>
      <c r="G267" s="41">
        <v>38000.0</v>
      </c>
    </row>
    <row r="268" ht="14.25" customHeight="1">
      <c r="A268" s="12" t="s">
        <v>37</v>
      </c>
      <c r="B268" s="12" t="s">
        <v>349</v>
      </c>
      <c r="D268" s="34"/>
      <c r="E268" s="41">
        <v>10000.0</v>
      </c>
      <c r="F268" s="35">
        <v>6500.0</v>
      </c>
      <c r="G268" s="41">
        <v>12000.0</v>
      </c>
    </row>
    <row r="269" ht="17.25" customHeight="1">
      <c r="A269" s="12" t="s">
        <v>37</v>
      </c>
      <c r="B269" s="12" t="s">
        <v>350</v>
      </c>
      <c r="D269" s="34"/>
      <c r="E269" s="41">
        <v>22000.0</v>
      </c>
      <c r="F269" s="35">
        <v>15000.0</v>
      </c>
      <c r="G269" s="41">
        <v>26000.0</v>
      </c>
    </row>
    <row r="270" ht="14.25" customHeight="1">
      <c r="A270" s="12" t="s">
        <v>37</v>
      </c>
      <c r="B270" s="12" t="s">
        <v>351</v>
      </c>
      <c r="D270" s="34"/>
      <c r="E270" s="41">
        <v>12000.0</v>
      </c>
      <c r="F270" s="35">
        <v>8500.0</v>
      </c>
      <c r="G270" s="41">
        <v>14000.0</v>
      </c>
    </row>
    <row r="271" ht="14.25" customHeight="1">
      <c r="A271" s="12" t="s">
        <v>37</v>
      </c>
      <c r="B271" s="12" t="s">
        <v>352</v>
      </c>
      <c r="D271" s="34"/>
      <c r="E271" s="41">
        <v>26000.0</v>
      </c>
      <c r="F271" s="35">
        <v>16000.0</v>
      </c>
      <c r="G271" s="41">
        <v>31000.0</v>
      </c>
    </row>
    <row r="272" ht="14.25" customHeight="1">
      <c r="A272" s="12" t="s">
        <v>37</v>
      </c>
      <c r="B272" s="28" t="s">
        <v>353</v>
      </c>
      <c r="D272" s="34"/>
      <c r="E272" s="41">
        <v>10000.0</v>
      </c>
      <c r="F272" s="35">
        <v>6500.0</v>
      </c>
      <c r="G272" s="41">
        <v>12000.0</v>
      </c>
    </row>
    <row r="273" ht="14.25" customHeight="1">
      <c r="A273" s="12" t="s">
        <v>37</v>
      </c>
      <c r="B273" s="12" t="s">
        <v>354</v>
      </c>
      <c r="D273" s="34"/>
      <c r="E273" s="41">
        <v>20000.0</v>
      </c>
      <c r="F273" s="35">
        <v>12500.0</v>
      </c>
      <c r="G273" s="41">
        <v>24000.0</v>
      </c>
    </row>
    <row r="274" ht="14.25" customHeight="1">
      <c r="A274" s="12" t="s">
        <v>37</v>
      </c>
      <c r="B274" s="12" t="s">
        <v>355</v>
      </c>
      <c r="D274" s="34"/>
      <c r="E274" s="41">
        <v>14000.0</v>
      </c>
      <c r="F274" s="35">
        <v>10000.0</v>
      </c>
      <c r="G274" s="41">
        <v>17000.0</v>
      </c>
    </row>
    <row r="275" ht="14.25" customHeight="1">
      <c r="A275" s="12" t="s">
        <v>37</v>
      </c>
      <c r="B275" s="12" t="s">
        <v>356</v>
      </c>
      <c r="D275" s="34"/>
      <c r="E275" s="41">
        <v>23000.0</v>
      </c>
      <c r="F275" s="35">
        <v>16000.0</v>
      </c>
      <c r="G275" s="41">
        <v>28000.0</v>
      </c>
    </row>
    <row r="276" ht="14.25" customHeight="1">
      <c r="A276" s="12" t="s">
        <v>37</v>
      </c>
      <c r="B276" s="12" t="s">
        <v>357</v>
      </c>
      <c r="D276" s="34"/>
      <c r="E276" s="41">
        <v>26000.0</v>
      </c>
      <c r="F276" s="35">
        <v>16000.0</v>
      </c>
      <c r="G276" s="41">
        <v>31000.0</v>
      </c>
    </row>
    <row r="277" ht="14.25" customHeight="1">
      <c r="A277" s="12" t="s">
        <v>37</v>
      </c>
      <c r="B277" s="12" t="s">
        <v>358</v>
      </c>
      <c r="D277" s="34"/>
      <c r="E277" s="41">
        <v>20000.0</v>
      </c>
      <c r="F277" s="35">
        <v>12500.0</v>
      </c>
      <c r="G277" s="41">
        <v>24000.0</v>
      </c>
    </row>
    <row r="278" ht="14.25" customHeight="1">
      <c r="A278" s="12" t="s">
        <v>37</v>
      </c>
      <c r="B278" s="12" t="s">
        <v>359</v>
      </c>
      <c r="D278" s="34"/>
      <c r="E278" s="41">
        <v>24000.0</v>
      </c>
      <c r="F278" s="35">
        <v>16500.0</v>
      </c>
      <c r="G278" s="41">
        <v>29000.0</v>
      </c>
    </row>
    <row r="279" ht="14.25" customHeight="1">
      <c r="A279" s="12" t="s">
        <v>37</v>
      </c>
      <c r="B279" s="12" t="s">
        <v>360</v>
      </c>
      <c r="D279" s="34"/>
      <c r="E279" s="41">
        <v>20000.0</v>
      </c>
      <c r="F279" s="35">
        <v>12500.0</v>
      </c>
      <c r="G279" s="41">
        <v>24000.0</v>
      </c>
      <c r="I279" s="42"/>
      <c r="J279" s="42"/>
      <c r="K279" s="43"/>
      <c r="L279" s="14"/>
      <c r="M279" s="43"/>
      <c r="N279" s="43"/>
    </row>
    <row r="280" ht="14.25" customHeight="1">
      <c r="A280" s="12" t="s">
        <v>37</v>
      </c>
      <c r="B280" s="12" t="s">
        <v>361</v>
      </c>
      <c r="D280" s="34"/>
      <c r="E280" s="41">
        <v>26000.0</v>
      </c>
      <c r="F280" s="35">
        <v>16000.0</v>
      </c>
      <c r="G280" s="41">
        <v>31000.0</v>
      </c>
      <c r="I280" s="42"/>
      <c r="J280" s="42"/>
      <c r="K280" s="43"/>
      <c r="L280" s="14"/>
      <c r="M280" s="43"/>
      <c r="N280" s="43"/>
    </row>
    <row r="281" ht="14.25" customHeight="1">
      <c r="A281" s="12" t="s">
        <v>37</v>
      </c>
      <c r="B281" s="12" t="s">
        <v>362</v>
      </c>
      <c r="D281" s="34"/>
      <c r="E281" s="41">
        <v>27000.0</v>
      </c>
      <c r="F281" s="35">
        <v>17000.0</v>
      </c>
      <c r="G281" s="41">
        <v>32000.0</v>
      </c>
      <c r="I281" s="42"/>
      <c r="J281" s="42"/>
      <c r="K281" s="43"/>
      <c r="L281" s="14"/>
      <c r="M281" s="43"/>
      <c r="N281" s="43"/>
    </row>
    <row r="282" ht="14.25" customHeight="1">
      <c r="A282" s="12" t="s">
        <v>37</v>
      </c>
      <c r="B282" s="12" t="s">
        <v>363</v>
      </c>
      <c r="D282" s="34"/>
      <c r="E282" s="41">
        <v>28000.0</v>
      </c>
      <c r="F282" s="35">
        <v>17000.0</v>
      </c>
      <c r="G282" s="41">
        <v>32000.0</v>
      </c>
    </row>
    <row r="283" ht="14.25" customHeight="1">
      <c r="A283" s="12" t="s">
        <v>37</v>
      </c>
      <c r="B283" s="12" t="s">
        <v>364</v>
      </c>
      <c r="D283" s="34"/>
      <c r="E283" s="41">
        <v>23000.0</v>
      </c>
      <c r="F283" s="35">
        <v>16000.0</v>
      </c>
      <c r="G283" s="41">
        <v>28000.0</v>
      </c>
    </row>
    <row r="284" ht="14.25" customHeight="1">
      <c r="A284" s="12" t="s">
        <v>37</v>
      </c>
      <c r="B284" s="12" t="s">
        <v>365</v>
      </c>
      <c r="D284" s="34"/>
      <c r="E284" s="41">
        <v>20000.0</v>
      </c>
      <c r="F284" s="35">
        <v>12500.0</v>
      </c>
      <c r="G284" s="41">
        <v>24000.0</v>
      </c>
    </row>
    <row r="285" ht="14.25" customHeight="1">
      <c r="A285" s="12" t="s">
        <v>37</v>
      </c>
      <c r="B285" s="12" t="s">
        <v>366</v>
      </c>
      <c r="D285" s="44"/>
      <c r="E285" s="41">
        <v>17000.0</v>
      </c>
      <c r="F285" s="35">
        <v>11000.0</v>
      </c>
      <c r="G285" s="41">
        <v>20000.0</v>
      </c>
    </row>
    <row r="286" ht="14.25" customHeight="1">
      <c r="A286" s="12" t="s">
        <v>37</v>
      </c>
      <c r="B286" s="12" t="s">
        <v>367</v>
      </c>
      <c r="D286" s="44"/>
      <c r="E286" s="41">
        <v>30000.0</v>
      </c>
      <c r="F286" s="35">
        <v>16000.0</v>
      </c>
      <c r="G286" s="41">
        <v>36000.0</v>
      </c>
    </row>
    <row r="287" ht="14.25" customHeight="1">
      <c r="A287" s="12" t="s">
        <v>37</v>
      </c>
      <c r="B287" s="12" t="s">
        <v>368</v>
      </c>
      <c r="D287" s="44"/>
      <c r="E287" s="41">
        <v>27000.0</v>
      </c>
      <c r="F287" s="35">
        <v>17000.0</v>
      </c>
      <c r="G287" s="41">
        <v>32000.0</v>
      </c>
    </row>
    <row r="288" ht="14.25" customHeight="1">
      <c r="A288" s="12" t="s">
        <v>37</v>
      </c>
      <c r="B288" s="12" t="s">
        <v>369</v>
      </c>
      <c r="D288" s="44"/>
      <c r="E288" s="41">
        <v>18000.0</v>
      </c>
      <c r="F288" s="35">
        <v>12000.0</v>
      </c>
      <c r="G288" s="41">
        <v>22000.0</v>
      </c>
    </row>
    <row r="289" ht="14.25" customHeight="1">
      <c r="A289" s="12" t="s">
        <v>37</v>
      </c>
      <c r="B289" s="23" t="s">
        <v>370</v>
      </c>
      <c r="D289" s="44"/>
      <c r="E289" s="41">
        <v>17000.0</v>
      </c>
      <c r="F289" s="35">
        <v>11000.0</v>
      </c>
      <c r="G289" s="41">
        <v>20000.0</v>
      </c>
    </row>
    <row r="290" ht="14.25" customHeight="1">
      <c r="A290" s="12" t="s">
        <v>37</v>
      </c>
      <c r="B290" s="17" t="s">
        <v>371</v>
      </c>
      <c r="D290" s="44"/>
      <c r="E290" s="41">
        <v>20000.0</v>
      </c>
      <c r="F290" s="35">
        <v>12500.0</v>
      </c>
      <c r="G290" s="41">
        <v>24000.0</v>
      </c>
    </row>
    <row r="291" ht="14.25" customHeight="1">
      <c r="A291" s="12" t="s">
        <v>37</v>
      </c>
      <c r="B291" s="17" t="s">
        <v>372</v>
      </c>
      <c r="D291" s="44"/>
      <c r="E291" s="41">
        <v>24000.0</v>
      </c>
      <c r="F291" s="35">
        <v>16500.0</v>
      </c>
      <c r="G291" s="41">
        <v>29000.0</v>
      </c>
    </row>
    <row r="292" ht="14.25" customHeight="1">
      <c r="A292" s="12" t="s">
        <v>37</v>
      </c>
      <c r="B292" s="17" t="s">
        <v>373</v>
      </c>
      <c r="D292" s="44"/>
      <c r="E292" s="41">
        <v>29000.0</v>
      </c>
      <c r="F292" s="35">
        <v>17000.0</v>
      </c>
      <c r="G292" s="41">
        <v>32000.0</v>
      </c>
    </row>
    <row r="293" ht="14.25" customHeight="1">
      <c r="A293" s="12" t="s">
        <v>37</v>
      </c>
      <c r="B293" s="17" t="s">
        <v>374</v>
      </c>
      <c r="D293" s="44"/>
      <c r="E293" s="41">
        <v>24000.0</v>
      </c>
      <c r="F293" s="35">
        <v>16500.0</v>
      </c>
      <c r="G293" s="41">
        <v>29000.0</v>
      </c>
    </row>
    <row r="294" ht="14.25" customHeight="1">
      <c r="A294" s="12" t="s">
        <v>37</v>
      </c>
      <c r="B294" s="17" t="s">
        <v>375</v>
      </c>
      <c r="D294" s="44"/>
      <c r="E294" s="41">
        <v>26000.0</v>
      </c>
      <c r="F294" s="35">
        <v>16000.0</v>
      </c>
      <c r="G294" s="41">
        <v>31000.0</v>
      </c>
    </row>
    <row r="295" ht="14.25" customHeight="1">
      <c r="A295" s="12" t="s">
        <v>37</v>
      </c>
      <c r="B295" s="3" t="s">
        <v>376</v>
      </c>
      <c r="D295" s="44"/>
      <c r="E295" s="35">
        <v>22000.0</v>
      </c>
      <c r="F295" s="35">
        <v>16500.0</v>
      </c>
      <c r="G295" s="41">
        <v>29000.0</v>
      </c>
    </row>
    <row r="296" ht="14.25" customHeight="1">
      <c r="A296" s="12" t="s">
        <v>37</v>
      </c>
      <c r="B296" s="3" t="s">
        <v>377</v>
      </c>
      <c r="D296" s="44"/>
      <c r="E296" s="35">
        <v>22000.0</v>
      </c>
      <c r="F296" s="25">
        <v>16500.0</v>
      </c>
      <c r="G296" s="35">
        <v>30000.0</v>
      </c>
    </row>
    <row r="297" ht="14.25" customHeight="1">
      <c r="A297" s="12" t="s">
        <v>37</v>
      </c>
      <c r="B297" s="3" t="s">
        <v>378</v>
      </c>
      <c r="D297" s="44"/>
      <c r="E297" s="35">
        <v>18000.0</v>
      </c>
      <c r="F297" s="35">
        <v>15000.0</v>
      </c>
      <c r="G297" s="35">
        <v>25000.0</v>
      </c>
    </row>
    <row r="298" ht="14.25" customHeight="1">
      <c r="A298" s="12" t="s">
        <v>37</v>
      </c>
      <c r="B298" s="3" t="s">
        <v>379</v>
      </c>
      <c r="D298" s="44"/>
      <c r="E298" s="41">
        <v>19000.0</v>
      </c>
      <c r="F298" s="25">
        <v>13000.0</v>
      </c>
      <c r="G298" s="41">
        <v>23000.0</v>
      </c>
    </row>
    <row r="299" ht="14.25" customHeight="1">
      <c r="A299" s="12" t="s">
        <v>37</v>
      </c>
      <c r="B299" s="3" t="s">
        <v>380</v>
      </c>
      <c r="D299" s="44"/>
      <c r="E299" s="41">
        <v>18000.0</v>
      </c>
      <c r="F299" s="35">
        <v>12000.0</v>
      </c>
      <c r="G299" s="41">
        <v>22000.0</v>
      </c>
    </row>
    <row r="300" ht="14.25" customHeight="1">
      <c r="A300" s="45" t="s">
        <v>37</v>
      </c>
      <c r="B300" s="44" t="s">
        <v>381</v>
      </c>
      <c r="D300" s="44"/>
      <c r="E300" s="41">
        <v>21000.0</v>
      </c>
      <c r="F300" s="35">
        <v>13000.0</v>
      </c>
      <c r="G300" s="41">
        <v>25000.0</v>
      </c>
    </row>
    <row r="301" ht="14.25" customHeight="1">
      <c r="A301" s="45" t="s">
        <v>37</v>
      </c>
      <c r="B301" s="44" t="s">
        <v>382</v>
      </c>
      <c r="D301" s="44"/>
      <c r="E301" s="41">
        <v>18000.0</v>
      </c>
      <c r="F301" s="35">
        <v>12000.0</v>
      </c>
      <c r="G301" s="41">
        <v>22000.0</v>
      </c>
    </row>
    <row r="302" ht="14.25" customHeight="1">
      <c r="A302" s="45" t="s">
        <v>37</v>
      </c>
      <c r="B302" s="44" t="s">
        <v>383</v>
      </c>
      <c r="D302" s="44"/>
      <c r="E302" s="41">
        <v>21000.0</v>
      </c>
      <c r="F302" s="35">
        <v>13000.0</v>
      </c>
      <c r="G302" s="41">
        <v>25000.0</v>
      </c>
    </row>
    <row r="303" ht="14.25" customHeight="1">
      <c r="A303" s="45" t="s">
        <v>37</v>
      </c>
      <c r="B303" s="46" t="s">
        <v>384</v>
      </c>
      <c r="D303" s="44"/>
      <c r="E303" s="41">
        <v>21000.0</v>
      </c>
      <c r="F303" s="35">
        <v>13000.0</v>
      </c>
      <c r="G303" s="41">
        <v>25000.0</v>
      </c>
    </row>
    <row r="304" ht="14.25" customHeight="1">
      <c r="A304" s="45" t="s">
        <v>37</v>
      </c>
      <c r="B304" s="47" t="s">
        <v>354</v>
      </c>
      <c r="D304" s="44"/>
      <c r="E304" s="41">
        <v>21000.0</v>
      </c>
      <c r="F304" s="35">
        <v>13000.0</v>
      </c>
      <c r="G304" s="41">
        <v>25000.0</v>
      </c>
    </row>
    <row r="305" ht="14.25" customHeight="1">
      <c r="A305" s="45" t="s">
        <v>385</v>
      </c>
      <c r="B305" s="46" t="s">
        <v>386</v>
      </c>
      <c r="D305" s="44"/>
      <c r="E305" s="41">
        <v>21000.0</v>
      </c>
      <c r="F305" s="35">
        <v>13000.0</v>
      </c>
      <c r="G305" s="41">
        <v>25000.0</v>
      </c>
    </row>
    <row r="306" ht="14.25" customHeight="1">
      <c r="A306" s="45" t="s">
        <v>385</v>
      </c>
      <c r="B306" s="46" t="s">
        <v>387</v>
      </c>
      <c r="D306" s="44"/>
      <c r="E306" s="41">
        <v>21000.0</v>
      </c>
      <c r="F306" s="35">
        <v>13000.0</v>
      </c>
      <c r="G306" s="41">
        <v>25000.0</v>
      </c>
    </row>
    <row r="307" ht="14.25" customHeight="1">
      <c r="A307" s="45" t="s">
        <v>385</v>
      </c>
      <c r="B307" s="46" t="s">
        <v>388</v>
      </c>
      <c r="D307" s="44"/>
      <c r="E307" s="41">
        <v>21000.0</v>
      </c>
      <c r="F307" s="35">
        <v>13000.0</v>
      </c>
      <c r="G307" s="41">
        <v>25000.0</v>
      </c>
    </row>
    <row r="308" ht="14.25" customHeight="1">
      <c r="A308" s="45" t="s">
        <v>385</v>
      </c>
      <c r="B308" s="46" t="s">
        <v>389</v>
      </c>
      <c r="D308" s="44"/>
      <c r="E308" s="41">
        <v>21000.0</v>
      </c>
      <c r="F308" s="35">
        <v>13000.0</v>
      </c>
      <c r="G308" s="41">
        <v>25000.0</v>
      </c>
    </row>
    <row r="309" ht="14.25" customHeight="1">
      <c r="A309" s="45" t="s">
        <v>385</v>
      </c>
      <c r="B309" s="46" t="s">
        <v>390</v>
      </c>
      <c r="D309" s="44"/>
      <c r="E309" s="35">
        <v>25000.0</v>
      </c>
      <c r="F309" s="35">
        <v>15000.0</v>
      </c>
      <c r="G309" s="35">
        <v>30000.0</v>
      </c>
    </row>
    <row r="310" ht="14.25" customHeight="1">
      <c r="A310" s="45" t="s">
        <v>385</v>
      </c>
      <c r="B310" s="17" t="s">
        <v>391</v>
      </c>
      <c r="D310" s="44"/>
      <c r="E310" s="35">
        <v>21000.0</v>
      </c>
      <c r="F310" s="35">
        <v>13000.0</v>
      </c>
      <c r="G310" s="35">
        <v>25000.0</v>
      </c>
    </row>
    <row r="311" ht="14.25" customHeight="1">
      <c r="A311" s="45" t="s">
        <v>385</v>
      </c>
      <c r="B311" s="17" t="s">
        <v>392</v>
      </c>
      <c r="D311" s="44"/>
      <c r="E311" s="35">
        <v>26000.0</v>
      </c>
      <c r="F311" s="35">
        <v>18000.0</v>
      </c>
      <c r="G311" s="35">
        <v>30000.0</v>
      </c>
    </row>
    <row r="312" ht="14.25" customHeight="1">
      <c r="A312" s="45" t="s">
        <v>385</v>
      </c>
      <c r="B312" s="17" t="s">
        <v>393</v>
      </c>
      <c r="D312" s="44"/>
      <c r="E312" s="35">
        <v>30000.0</v>
      </c>
      <c r="F312" s="35">
        <v>19500.0</v>
      </c>
      <c r="G312" s="35">
        <v>35000.0</v>
      </c>
    </row>
    <row r="313" ht="14.25" customHeight="1">
      <c r="A313" s="45" t="s">
        <v>385</v>
      </c>
      <c r="B313" s="17" t="s">
        <v>394</v>
      </c>
      <c r="D313" s="44"/>
      <c r="E313" s="35">
        <v>9000.0</v>
      </c>
      <c r="F313" s="35">
        <v>7000.0</v>
      </c>
      <c r="G313" s="35">
        <v>12000.0</v>
      </c>
    </row>
    <row r="314" ht="14.25" hidden="1" customHeight="1">
      <c r="A314" s="12" t="s">
        <v>42</v>
      </c>
      <c r="B314" s="12" t="s">
        <v>395</v>
      </c>
      <c r="C314" s="12" t="s">
        <v>96</v>
      </c>
      <c r="D314" s="40">
        <v>77100.0</v>
      </c>
      <c r="E314" s="14">
        <v>96000.0</v>
      </c>
      <c r="F314" s="14">
        <f t="shared" ref="F314:F319" si="8">ROUND(D314+(D314*0.15),-2)</f>
        <v>88700</v>
      </c>
      <c r="G314" s="14">
        <v>116000.0</v>
      </c>
    </row>
    <row r="315" ht="14.25" hidden="1" customHeight="1">
      <c r="A315" s="12" t="s">
        <v>42</v>
      </c>
      <c r="B315" s="12" t="s">
        <v>396</v>
      </c>
      <c r="C315" s="12" t="s">
        <v>17</v>
      </c>
      <c r="D315" s="40">
        <v>57500.0</v>
      </c>
      <c r="E315" s="14">
        <v>72000.0</v>
      </c>
      <c r="F315" s="14">
        <f t="shared" si="8"/>
        <v>66100</v>
      </c>
      <c r="G315" s="14">
        <v>86000.0</v>
      </c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 ht="14.25" hidden="1" customHeight="1">
      <c r="A316" s="12" t="s">
        <v>42</v>
      </c>
      <c r="B316" s="13" t="s">
        <v>397</v>
      </c>
      <c r="C316" s="12" t="s">
        <v>17</v>
      </c>
      <c r="D316" s="40">
        <v>86300.0</v>
      </c>
      <c r="E316" s="14">
        <v>108000.0</v>
      </c>
      <c r="F316" s="14">
        <f t="shared" si="8"/>
        <v>99200</v>
      </c>
      <c r="G316" s="14">
        <v>129000.0</v>
      </c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 ht="14.25" hidden="1" customHeight="1">
      <c r="A317" s="12" t="s">
        <v>42</v>
      </c>
      <c r="B317" s="12" t="s">
        <v>398</v>
      </c>
      <c r="C317" s="12" t="s">
        <v>102</v>
      </c>
      <c r="D317" s="40">
        <v>54100.0</v>
      </c>
      <c r="E317" s="14">
        <v>68000.0</v>
      </c>
      <c r="F317" s="14">
        <f t="shared" si="8"/>
        <v>62200</v>
      </c>
      <c r="G317" s="14">
        <v>81000.0</v>
      </c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 ht="14.25" hidden="1" customHeight="1">
      <c r="A318" s="12" t="s">
        <v>42</v>
      </c>
      <c r="B318" s="12" t="s">
        <v>399</v>
      </c>
      <c r="C318" s="12" t="s">
        <v>17</v>
      </c>
      <c r="D318" s="14">
        <v>80500.0</v>
      </c>
      <c r="E318" s="14">
        <v>101000.0</v>
      </c>
      <c r="F318" s="14">
        <f t="shared" si="8"/>
        <v>92600</v>
      </c>
      <c r="G318" s="14">
        <v>121000.0</v>
      </c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 ht="14.25" hidden="1" customHeight="1">
      <c r="A319" s="12" t="s">
        <v>42</v>
      </c>
      <c r="B319" s="12" t="s">
        <v>400</v>
      </c>
      <c r="C319" s="12" t="s">
        <v>17</v>
      </c>
      <c r="D319" s="14">
        <v>43700.0</v>
      </c>
      <c r="E319" s="14">
        <v>55000.0</v>
      </c>
      <c r="F319" s="14">
        <f t="shared" si="8"/>
        <v>50300</v>
      </c>
      <c r="G319" s="14">
        <v>66000.0</v>
      </c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 ht="14.25" hidden="1" customHeight="1">
      <c r="A320" s="12" t="s">
        <v>43</v>
      </c>
      <c r="B320" s="12" t="s">
        <v>401</v>
      </c>
      <c r="C320" s="12" t="s">
        <v>100</v>
      </c>
      <c r="D320" s="40">
        <v>12000.0</v>
      </c>
      <c r="E320" s="14">
        <v>19000.0</v>
      </c>
      <c r="F320" s="14">
        <f t="shared" ref="F320:F335" si="9">ROUND(D320+(D320*0.2),-2)</f>
        <v>14400</v>
      </c>
      <c r="G320" s="14">
        <v>24000.0</v>
      </c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 ht="14.25" hidden="1" customHeight="1">
      <c r="A321" s="12" t="s">
        <v>43</v>
      </c>
      <c r="B321" s="21" t="s">
        <v>402</v>
      </c>
      <c r="C321" s="12" t="s">
        <v>100</v>
      </c>
      <c r="D321" s="40">
        <v>14400.0</v>
      </c>
      <c r="E321" s="14">
        <v>23000.0</v>
      </c>
      <c r="F321" s="14">
        <f t="shared" si="9"/>
        <v>17300</v>
      </c>
      <c r="G321" s="14">
        <v>29000.0</v>
      </c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 ht="14.25" hidden="1" customHeight="1">
      <c r="A322" s="12" t="s">
        <v>43</v>
      </c>
      <c r="B322" s="48" t="s">
        <v>403</v>
      </c>
      <c r="C322" s="12"/>
      <c r="D322" s="40">
        <v>4800.0</v>
      </c>
      <c r="E322" s="14">
        <v>8000.0</v>
      </c>
      <c r="F322" s="14">
        <f t="shared" si="9"/>
        <v>5800</v>
      </c>
      <c r="G322" s="14">
        <v>10000.0</v>
      </c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 ht="14.25" hidden="1" customHeight="1">
      <c r="A323" s="12" t="s">
        <v>43</v>
      </c>
      <c r="B323" s="12" t="s">
        <v>404</v>
      </c>
      <c r="C323" s="12" t="s">
        <v>98</v>
      </c>
      <c r="D323" s="40">
        <v>4200.0</v>
      </c>
      <c r="E323" s="14">
        <v>7000.0</v>
      </c>
      <c r="F323" s="14">
        <f t="shared" si="9"/>
        <v>5000</v>
      </c>
      <c r="G323" s="14">
        <v>8000.0</v>
      </c>
    </row>
    <row r="324" ht="14.25" hidden="1" customHeight="1">
      <c r="A324" s="12" t="s">
        <v>43</v>
      </c>
      <c r="B324" s="21" t="s">
        <v>405</v>
      </c>
      <c r="C324" s="12" t="s">
        <v>100</v>
      </c>
      <c r="D324" s="40">
        <v>12000.0</v>
      </c>
      <c r="E324" s="14">
        <v>19000.0</v>
      </c>
      <c r="F324" s="14">
        <f t="shared" si="9"/>
        <v>14400</v>
      </c>
      <c r="G324" s="14">
        <v>24000.0</v>
      </c>
    </row>
    <row r="325" ht="14.25" hidden="1" customHeight="1">
      <c r="A325" s="12" t="s">
        <v>43</v>
      </c>
      <c r="B325" s="12" t="s">
        <v>406</v>
      </c>
      <c r="C325" s="12" t="s">
        <v>407</v>
      </c>
      <c r="D325" s="40">
        <v>4800.0</v>
      </c>
      <c r="E325" s="14">
        <v>8000.0</v>
      </c>
      <c r="F325" s="14">
        <f t="shared" si="9"/>
        <v>5800</v>
      </c>
      <c r="G325" s="14">
        <v>10000.0</v>
      </c>
    </row>
    <row r="326" ht="14.25" hidden="1" customHeight="1">
      <c r="A326" s="12" t="s">
        <v>43</v>
      </c>
      <c r="B326" s="12" t="s">
        <v>408</v>
      </c>
      <c r="C326" s="12" t="s">
        <v>257</v>
      </c>
      <c r="D326" s="40">
        <v>4800.0</v>
      </c>
      <c r="E326" s="14">
        <v>8000.0</v>
      </c>
      <c r="F326" s="14">
        <f t="shared" si="9"/>
        <v>5800</v>
      </c>
      <c r="G326" s="14">
        <v>10000.0</v>
      </c>
    </row>
    <row r="327" ht="14.25" hidden="1" customHeight="1">
      <c r="A327" s="12" t="s">
        <v>43</v>
      </c>
      <c r="B327" s="12" t="s">
        <v>409</v>
      </c>
      <c r="C327" s="12" t="s">
        <v>102</v>
      </c>
      <c r="D327" s="40">
        <v>6000.0</v>
      </c>
      <c r="E327" s="14">
        <v>10000.0</v>
      </c>
      <c r="F327" s="14">
        <f t="shared" si="9"/>
        <v>7200</v>
      </c>
      <c r="G327" s="14">
        <v>12000.0</v>
      </c>
    </row>
    <row r="328" ht="14.25" hidden="1" customHeight="1">
      <c r="A328" s="12" t="s">
        <v>43</v>
      </c>
      <c r="B328" s="12" t="s">
        <v>410</v>
      </c>
      <c r="C328" s="12" t="s">
        <v>98</v>
      </c>
      <c r="D328" s="40">
        <v>4200.0</v>
      </c>
      <c r="E328" s="14">
        <v>7000.0</v>
      </c>
      <c r="F328" s="14">
        <f t="shared" si="9"/>
        <v>5000</v>
      </c>
      <c r="G328" s="14">
        <v>8000.0</v>
      </c>
    </row>
    <row r="329" ht="14.25" hidden="1" customHeight="1">
      <c r="A329" s="12" t="s">
        <v>43</v>
      </c>
      <c r="B329" s="12" t="s">
        <v>411</v>
      </c>
      <c r="C329" s="12" t="s">
        <v>102</v>
      </c>
      <c r="D329" s="40">
        <v>3400.0</v>
      </c>
      <c r="E329" s="14">
        <v>5000.0</v>
      </c>
      <c r="F329" s="14">
        <f t="shared" si="9"/>
        <v>4100</v>
      </c>
      <c r="G329" s="14">
        <v>7000.0</v>
      </c>
    </row>
    <row r="330" ht="14.25" hidden="1" customHeight="1">
      <c r="A330" s="12" t="s">
        <v>43</v>
      </c>
      <c r="B330" s="12" t="s">
        <v>412</v>
      </c>
      <c r="C330" s="12" t="s">
        <v>118</v>
      </c>
      <c r="D330" s="49">
        <v>28800.0</v>
      </c>
      <c r="E330" s="14">
        <v>46000.0</v>
      </c>
      <c r="F330" s="14">
        <f t="shared" si="9"/>
        <v>34600</v>
      </c>
      <c r="G330" s="14">
        <v>58000.0</v>
      </c>
    </row>
    <row r="331" ht="14.25" hidden="1" customHeight="1">
      <c r="A331" s="12" t="s">
        <v>43</v>
      </c>
      <c r="B331" s="12" t="s">
        <v>413</v>
      </c>
      <c r="C331" s="12" t="s">
        <v>118</v>
      </c>
      <c r="D331" s="49">
        <v>10800.0</v>
      </c>
      <c r="E331" s="14">
        <v>17000.0</v>
      </c>
      <c r="F331" s="14">
        <f t="shared" si="9"/>
        <v>13000</v>
      </c>
      <c r="G331" s="14">
        <v>22000.0</v>
      </c>
    </row>
    <row r="332" ht="14.25" hidden="1" customHeight="1">
      <c r="A332" s="12" t="s">
        <v>43</v>
      </c>
      <c r="B332" s="12" t="s">
        <v>414</v>
      </c>
      <c r="C332" s="12" t="s">
        <v>214</v>
      </c>
      <c r="D332" s="50">
        <v>7200.0</v>
      </c>
      <c r="E332" s="14">
        <v>12000.0</v>
      </c>
      <c r="F332" s="14">
        <f t="shared" si="9"/>
        <v>8600</v>
      </c>
      <c r="G332" s="14">
        <v>14000.0</v>
      </c>
    </row>
    <row r="333" ht="14.25" hidden="1" customHeight="1">
      <c r="A333" s="12" t="s">
        <v>43</v>
      </c>
      <c r="B333" s="12" t="s">
        <v>415</v>
      </c>
      <c r="C333" s="12" t="s">
        <v>17</v>
      </c>
      <c r="D333" s="51">
        <v>4800.0</v>
      </c>
      <c r="E333" s="14">
        <v>8000.0</v>
      </c>
      <c r="F333" s="14">
        <f t="shared" si="9"/>
        <v>5800</v>
      </c>
      <c r="G333" s="14">
        <v>10000.0</v>
      </c>
    </row>
    <row r="334" ht="14.25" hidden="1" customHeight="1">
      <c r="A334" s="12" t="s">
        <v>43</v>
      </c>
      <c r="B334" s="12" t="s">
        <v>416</v>
      </c>
      <c r="C334" s="12" t="s">
        <v>17</v>
      </c>
      <c r="D334" s="51">
        <v>6000.0</v>
      </c>
      <c r="E334" s="14">
        <v>10000.0</v>
      </c>
      <c r="F334" s="14">
        <f t="shared" si="9"/>
        <v>7200</v>
      </c>
      <c r="G334" s="14">
        <v>12000.0</v>
      </c>
    </row>
    <row r="335" ht="14.25" hidden="1" customHeight="1">
      <c r="A335" s="12" t="s">
        <v>43</v>
      </c>
      <c r="B335" s="12" t="s">
        <v>417</v>
      </c>
      <c r="C335" s="12" t="s">
        <v>17</v>
      </c>
      <c r="D335" s="51">
        <v>6000.0</v>
      </c>
      <c r="E335" s="14">
        <v>10000.0</v>
      </c>
      <c r="F335" s="14">
        <f t="shared" si="9"/>
        <v>7200</v>
      </c>
      <c r="G335" s="14">
        <v>12000.0</v>
      </c>
    </row>
    <row r="336" ht="14.25" hidden="1" customHeight="1">
      <c r="A336" s="12" t="s">
        <v>43</v>
      </c>
      <c r="B336" s="33" t="s">
        <v>418</v>
      </c>
      <c r="D336" s="44"/>
      <c r="E336" s="35">
        <v>21000.0</v>
      </c>
      <c r="F336" s="35">
        <v>15500.0</v>
      </c>
      <c r="G336" s="35">
        <v>26000.0</v>
      </c>
    </row>
    <row r="337" ht="14.25" hidden="1" customHeight="1">
      <c r="A337" s="12" t="s">
        <v>45</v>
      </c>
      <c r="B337" s="12" t="s">
        <v>419</v>
      </c>
      <c r="C337" s="12" t="s">
        <v>94</v>
      </c>
      <c r="D337" s="40">
        <v>7500.0</v>
      </c>
      <c r="E337" s="25">
        <v>10000.0</v>
      </c>
      <c r="F337" s="14">
        <f t="shared" ref="F337:F339" si="10">ROUND(D337+(D337*0.15),-2)</f>
        <v>8600</v>
      </c>
      <c r="G337" s="14">
        <v>15000.0</v>
      </c>
    </row>
    <row r="338" ht="14.25" hidden="1" customHeight="1">
      <c r="A338" s="12" t="s">
        <v>45</v>
      </c>
      <c r="B338" s="12" t="s">
        <v>420</v>
      </c>
      <c r="C338" s="12" t="s">
        <v>421</v>
      </c>
      <c r="D338" s="40">
        <v>26500.0</v>
      </c>
      <c r="E338" s="25">
        <v>40000.0</v>
      </c>
      <c r="F338" s="14">
        <f t="shared" si="10"/>
        <v>30500</v>
      </c>
      <c r="G338" s="14">
        <v>53000.0</v>
      </c>
    </row>
    <row r="339" ht="14.25" hidden="1" customHeight="1">
      <c r="A339" s="12" t="s">
        <v>45</v>
      </c>
      <c r="B339" s="12" t="s">
        <v>422</v>
      </c>
      <c r="C339" s="12" t="s">
        <v>94</v>
      </c>
      <c r="D339" s="40">
        <v>7500.0</v>
      </c>
      <c r="E339" s="14">
        <v>9000.0</v>
      </c>
      <c r="F339" s="14">
        <f t="shared" si="10"/>
        <v>8600</v>
      </c>
      <c r="G339" s="14">
        <v>15000.0</v>
      </c>
    </row>
    <row r="340" ht="14.25" hidden="1" customHeight="1">
      <c r="A340" s="12" t="s">
        <v>45</v>
      </c>
      <c r="B340" s="12" t="s">
        <v>196</v>
      </c>
      <c r="C340" s="12" t="s">
        <v>94</v>
      </c>
      <c r="D340" s="40">
        <v>28800.0</v>
      </c>
      <c r="E340" s="25">
        <v>30000.0</v>
      </c>
      <c r="F340" s="25">
        <v>23000.0</v>
      </c>
      <c r="G340" s="25">
        <v>40000.0</v>
      </c>
    </row>
    <row r="341" ht="14.25" hidden="1" customHeight="1">
      <c r="A341" s="12" t="s">
        <v>45</v>
      </c>
      <c r="B341" s="12" t="s">
        <v>423</v>
      </c>
      <c r="C341" s="12" t="s">
        <v>102</v>
      </c>
      <c r="D341" s="40">
        <v>7000.0</v>
      </c>
      <c r="E341" s="14">
        <v>11000.0</v>
      </c>
      <c r="F341" s="14">
        <f>ROUND(D341+(D341*0.2),-2)</f>
        <v>8400</v>
      </c>
      <c r="G341" s="14">
        <v>14000.0</v>
      </c>
    </row>
    <row r="342" ht="14.25" hidden="1" customHeight="1">
      <c r="A342" s="12" t="s">
        <v>45</v>
      </c>
      <c r="B342" s="12" t="s">
        <v>424</v>
      </c>
      <c r="C342" s="12" t="s">
        <v>102</v>
      </c>
      <c r="D342" s="52">
        <v>51800.0</v>
      </c>
      <c r="E342" s="14">
        <v>70000.0</v>
      </c>
      <c r="F342" s="14">
        <f t="shared" ref="F342:F343" si="11">ROUND(D342+(D342*0.15),-2)</f>
        <v>59600</v>
      </c>
      <c r="G342" s="14">
        <v>100000.0</v>
      </c>
    </row>
    <row r="343" ht="14.25" hidden="1" customHeight="1">
      <c r="A343" s="12" t="s">
        <v>45</v>
      </c>
      <c r="B343" s="12" t="s">
        <v>200</v>
      </c>
      <c r="C343" s="12" t="s">
        <v>94</v>
      </c>
      <c r="D343" s="40">
        <v>41400.0</v>
      </c>
      <c r="E343" s="14">
        <v>52000.0</v>
      </c>
      <c r="F343" s="14">
        <f t="shared" si="11"/>
        <v>47600</v>
      </c>
      <c r="G343" s="14">
        <v>83000.0</v>
      </c>
    </row>
    <row r="344" ht="14.25" hidden="1" customHeight="1">
      <c r="A344" s="12" t="s">
        <v>45</v>
      </c>
      <c r="B344" s="12" t="s">
        <v>425</v>
      </c>
      <c r="C344" s="12" t="s">
        <v>159</v>
      </c>
      <c r="D344" s="40">
        <v>20700.0</v>
      </c>
      <c r="E344" s="25">
        <v>20000.0</v>
      </c>
      <c r="F344" s="25">
        <v>17000.0</v>
      </c>
      <c r="G344" s="14">
        <v>41000.0</v>
      </c>
    </row>
    <row r="345" ht="15.0" hidden="1" customHeight="1">
      <c r="A345" s="12" t="s">
        <v>45</v>
      </c>
      <c r="B345" s="13" t="s">
        <v>426</v>
      </c>
      <c r="C345" s="12" t="s">
        <v>102</v>
      </c>
      <c r="D345" s="40">
        <v>7000.0</v>
      </c>
      <c r="E345" s="14">
        <v>11000.0</v>
      </c>
      <c r="F345" s="14">
        <f t="shared" ref="F345:F349" si="12">ROUND(D345+(D345*0.2),-2)</f>
        <v>8400</v>
      </c>
      <c r="G345" s="14">
        <v>14000.0</v>
      </c>
    </row>
    <row r="346" ht="14.25" hidden="1" customHeight="1">
      <c r="A346" s="12" t="s">
        <v>45</v>
      </c>
      <c r="B346" s="12" t="s">
        <v>427</v>
      </c>
      <c r="C346" s="12" t="s">
        <v>94</v>
      </c>
      <c r="D346" s="40">
        <v>10200.0</v>
      </c>
      <c r="E346" s="14">
        <v>16000.0</v>
      </c>
      <c r="F346" s="14">
        <f t="shared" si="12"/>
        <v>12200</v>
      </c>
      <c r="G346" s="14">
        <v>20000.0</v>
      </c>
    </row>
    <row r="347" ht="14.25" hidden="1" customHeight="1">
      <c r="A347" s="12" t="s">
        <v>45</v>
      </c>
      <c r="B347" s="21" t="s">
        <v>428</v>
      </c>
      <c r="C347" s="12" t="s">
        <v>429</v>
      </c>
      <c r="D347" s="40">
        <v>7200.0</v>
      </c>
      <c r="E347" s="14">
        <v>12000.0</v>
      </c>
      <c r="F347" s="14">
        <f t="shared" si="12"/>
        <v>8600</v>
      </c>
      <c r="G347" s="14">
        <v>14000.0</v>
      </c>
    </row>
    <row r="348" ht="14.25" hidden="1" customHeight="1">
      <c r="A348" s="12" t="s">
        <v>45</v>
      </c>
      <c r="B348" s="21" t="s">
        <v>430</v>
      </c>
      <c r="C348" s="12" t="s">
        <v>429</v>
      </c>
      <c r="D348" s="40">
        <v>9600.0</v>
      </c>
      <c r="E348" s="14">
        <v>15000.0</v>
      </c>
      <c r="F348" s="14">
        <f t="shared" si="12"/>
        <v>11500</v>
      </c>
      <c r="G348" s="14">
        <v>19000.0</v>
      </c>
    </row>
    <row r="349" ht="14.25" hidden="1" customHeight="1">
      <c r="A349" s="12" t="s">
        <v>45</v>
      </c>
      <c r="B349" s="37" t="s">
        <v>431</v>
      </c>
      <c r="C349" s="12" t="s">
        <v>432</v>
      </c>
      <c r="D349" s="40">
        <v>10800.0</v>
      </c>
      <c r="E349" s="14">
        <v>17000.0</v>
      </c>
      <c r="F349" s="14">
        <f t="shared" si="12"/>
        <v>13000</v>
      </c>
      <c r="G349" s="14">
        <v>22000.0</v>
      </c>
    </row>
    <row r="350" ht="14.25" hidden="1" customHeight="1">
      <c r="A350" s="12" t="s">
        <v>47</v>
      </c>
      <c r="B350" s="12" t="s">
        <v>433</v>
      </c>
      <c r="C350" s="12" t="s">
        <v>257</v>
      </c>
      <c r="D350" s="40">
        <v>149500.0</v>
      </c>
      <c r="E350" s="14">
        <v>194000.0</v>
      </c>
      <c r="F350" s="14">
        <f t="shared" ref="F350:F361" si="13">ROUND(D350+(D350*0.15),-2)</f>
        <v>171900</v>
      </c>
      <c r="G350" s="14">
        <v>209000.0</v>
      </c>
    </row>
    <row r="351" ht="14.25" hidden="1" customHeight="1">
      <c r="A351" s="12" t="s">
        <v>47</v>
      </c>
      <c r="B351" s="12" t="s">
        <v>434</v>
      </c>
      <c r="C351" s="12" t="s">
        <v>60</v>
      </c>
      <c r="D351" s="40">
        <v>74800.0</v>
      </c>
      <c r="E351" s="14">
        <v>97000.0</v>
      </c>
      <c r="F351" s="14">
        <f t="shared" si="13"/>
        <v>86000</v>
      </c>
      <c r="G351" s="14">
        <v>105000.0</v>
      </c>
    </row>
    <row r="352" ht="14.25" hidden="1" customHeight="1">
      <c r="A352" s="12" t="s">
        <v>47</v>
      </c>
      <c r="B352" s="12" t="s">
        <v>435</v>
      </c>
      <c r="C352" s="12" t="s">
        <v>187</v>
      </c>
      <c r="D352" s="40">
        <v>40300.0</v>
      </c>
      <c r="E352" s="14">
        <v>52000.0</v>
      </c>
      <c r="F352" s="14">
        <f t="shared" si="13"/>
        <v>46300</v>
      </c>
      <c r="G352" s="14">
        <v>56000.0</v>
      </c>
    </row>
    <row r="353" ht="14.25" hidden="1" customHeight="1">
      <c r="A353" s="12" t="s">
        <v>47</v>
      </c>
      <c r="B353" s="12" t="s">
        <v>436</v>
      </c>
      <c r="C353" s="12" t="s">
        <v>437</v>
      </c>
      <c r="D353" s="40">
        <v>51800.0</v>
      </c>
      <c r="E353" s="14">
        <v>67000.0</v>
      </c>
      <c r="F353" s="14">
        <f t="shared" si="13"/>
        <v>59600</v>
      </c>
      <c r="G353" s="14">
        <v>73000.0</v>
      </c>
    </row>
    <row r="354" ht="14.25" hidden="1" customHeight="1">
      <c r="A354" s="12" t="s">
        <v>47</v>
      </c>
      <c r="B354" s="12" t="s">
        <v>438</v>
      </c>
      <c r="C354" s="12" t="s">
        <v>98</v>
      </c>
      <c r="D354" s="40">
        <v>48300.0</v>
      </c>
      <c r="E354" s="14">
        <v>63000.0</v>
      </c>
      <c r="F354" s="14">
        <f t="shared" si="13"/>
        <v>55500</v>
      </c>
      <c r="G354" s="14">
        <v>68000.0</v>
      </c>
    </row>
    <row r="355" ht="14.25" hidden="1" customHeight="1">
      <c r="A355" s="12" t="s">
        <v>47</v>
      </c>
      <c r="B355" s="12" t="s">
        <v>439</v>
      </c>
      <c r="C355" s="12" t="s">
        <v>98</v>
      </c>
      <c r="D355" s="40">
        <v>52900.0</v>
      </c>
      <c r="E355" s="14">
        <v>69000.0</v>
      </c>
      <c r="F355" s="14">
        <f t="shared" si="13"/>
        <v>60800</v>
      </c>
      <c r="G355" s="14">
        <v>74000.0</v>
      </c>
    </row>
    <row r="356" ht="14.25" hidden="1" customHeight="1">
      <c r="A356" s="12" t="s">
        <v>47</v>
      </c>
      <c r="B356" s="13" t="s">
        <v>440</v>
      </c>
      <c r="C356" s="12" t="s">
        <v>98</v>
      </c>
      <c r="D356" s="40">
        <v>49500.0</v>
      </c>
      <c r="E356" s="14">
        <v>64000.0</v>
      </c>
      <c r="F356" s="14">
        <f t="shared" si="13"/>
        <v>56900</v>
      </c>
      <c r="G356" s="14">
        <v>69000.0</v>
      </c>
    </row>
    <row r="357" ht="14.25" hidden="1" customHeight="1">
      <c r="A357" s="12" t="s">
        <v>47</v>
      </c>
      <c r="B357" s="13" t="s">
        <v>441</v>
      </c>
      <c r="C357" s="12" t="s">
        <v>98</v>
      </c>
      <c r="D357" s="40">
        <v>52900.0</v>
      </c>
      <c r="E357" s="14">
        <v>69000.0</v>
      </c>
      <c r="F357" s="14">
        <f t="shared" si="13"/>
        <v>60800</v>
      </c>
      <c r="G357" s="14">
        <v>74000.0</v>
      </c>
    </row>
    <row r="358" ht="14.25" hidden="1" customHeight="1">
      <c r="A358" s="12" t="s">
        <v>47</v>
      </c>
      <c r="B358" s="12" t="s">
        <v>442</v>
      </c>
      <c r="C358" s="12" t="s">
        <v>212</v>
      </c>
      <c r="D358" s="40">
        <v>19600.0</v>
      </c>
      <c r="E358" s="14">
        <v>25000.0</v>
      </c>
      <c r="F358" s="14">
        <f t="shared" si="13"/>
        <v>22500</v>
      </c>
      <c r="G358" s="14">
        <v>27000.0</v>
      </c>
    </row>
    <row r="359" ht="14.25" hidden="1" customHeight="1">
      <c r="A359" s="12" t="s">
        <v>47</v>
      </c>
      <c r="B359" s="53" t="s">
        <v>439</v>
      </c>
      <c r="C359" s="12" t="s">
        <v>98</v>
      </c>
      <c r="D359" s="40">
        <v>52900.0</v>
      </c>
      <c r="E359" s="14">
        <v>69000.0</v>
      </c>
      <c r="F359" s="14">
        <f t="shared" si="13"/>
        <v>60800</v>
      </c>
      <c r="G359" s="14">
        <v>74000.0</v>
      </c>
    </row>
    <row r="360" ht="14.25" hidden="1" customHeight="1">
      <c r="A360" s="12" t="s">
        <v>47</v>
      </c>
      <c r="B360" s="21" t="s">
        <v>440</v>
      </c>
      <c r="C360" s="12" t="s">
        <v>98</v>
      </c>
      <c r="D360" s="40">
        <v>49500.0</v>
      </c>
      <c r="E360" s="40">
        <v>64000.0</v>
      </c>
      <c r="F360" s="14">
        <f t="shared" si="13"/>
        <v>56900</v>
      </c>
      <c r="G360" s="40">
        <v>69000.0</v>
      </c>
    </row>
    <row r="361" ht="14.25" hidden="1" customHeight="1">
      <c r="A361" s="12" t="s">
        <v>47</v>
      </c>
      <c r="B361" s="21" t="s">
        <v>441</v>
      </c>
      <c r="C361" s="12" t="s">
        <v>98</v>
      </c>
      <c r="D361" s="40">
        <v>52900.0</v>
      </c>
      <c r="E361" s="40">
        <v>69000.0</v>
      </c>
      <c r="F361" s="14">
        <f t="shared" si="13"/>
        <v>60800</v>
      </c>
      <c r="G361" s="40">
        <v>74000.0</v>
      </c>
    </row>
    <row r="362" ht="14.25" hidden="1" customHeight="1">
      <c r="A362" s="17" t="s">
        <v>47</v>
      </c>
      <c r="B362" s="54" t="s">
        <v>443</v>
      </c>
      <c r="D362" s="44"/>
      <c r="E362" s="55">
        <v>21000.0</v>
      </c>
      <c r="F362" s="35">
        <v>16000.0</v>
      </c>
      <c r="G362" s="55">
        <v>26000.0</v>
      </c>
    </row>
    <row r="363" ht="14.25" hidden="1" customHeight="1">
      <c r="A363" s="12" t="s">
        <v>49</v>
      </c>
      <c r="B363" s="13" t="s">
        <v>444</v>
      </c>
      <c r="C363" s="12" t="s">
        <v>96</v>
      </c>
      <c r="D363" s="40">
        <v>28800.0</v>
      </c>
      <c r="E363" s="40">
        <v>40000.0</v>
      </c>
      <c r="F363" s="14">
        <f t="shared" ref="F363:F378" si="14">ROUND(D363+(D363*0.2),-2)</f>
        <v>34600</v>
      </c>
      <c r="G363" s="40">
        <v>49000.0</v>
      </c>
    </row>
    <row r="364" ht="14.25" hidden="1" customHeight="1">
      <c r="A364" s="12" t="s">
        <v>49</v>
      </c>
      <c r="B364" s="12" t="s">
        <v>445</v>
      </c>
      <c r="C364" s="12" t="s">
        <v>96</v>
      </c>
      <c r="D364" s="40">
        <v>49200.0</v>
      </c>
      <c r="E364" s="40">
        <v>69000.0</v>
      </c>
      <c r="F364" s="14">
        <f t="shared" si="14"/>
        <v>59000</v>
      </c>
      <c r="G364" s="40">
        <v>84000.0</v>
      </c>
    </row>
    <row r="365" ht="14.25" hidden="1" customHeight="1">
      <c r="A365" s="12" t="s">
        <v>49</v>
      </c>
      <c r="B365" s="12" t="s">
        <v>446</v>
      </c>
      <c r="C365" s="12" t="s">
        <v>96</v>
      </c>
      <c r="D365" s="40">
        <v>19200.0</v>
      </c>
      <c r="E365" s="14">
        <v>27000.0</v>
      </c>
      <c r="F365" s="14">
        <f t="shared" si="14"/>
        <v>23000</v>
      </c>
      <c r="G365" s="14">
        <v>33000.0</v>
      </c>
    </row>
    <row r="366" ht="14.25" hidden="1" customHeight="1">
      <c r="A366" s="12" t="s">
        <v>49</v>
      </c>
      <c r="B366" s="12" t="s">
        <v>447</v>
      </c>
      <c r="C366" s="12" t="s">
        <v>96</v>
      </c>
      <c r="D366" s="40">
        <v>25200.0</v>
      </c>
      <c r="E366" s="14">
        <v>35000.0</v>
      </c>
      <c r="F366" s="14">
        <f t="shared" si="14"/>
        <v>30200</v>
      </c>
      <c r="G366" s="40">
        <v>43000.0</v>
      </c>
    </row>
    <row r="367" ht="14.25" hidden="1" customHeight="1">
      <c r="A367" s="12" t="s">
        <v>49</v>
      </c>
      <c r="B367" s="12" t="s">
        <v>448</v>
      </c>
      <c r="C367" s="12" t="s">
        <v>96</v>
      </c>
      <c r="D367" s="40">
        <v>14400.0</v>
      </c>
      <c r="E367" s="14">
        <v>20000.0</v>
      </c>
      <c r="F367" s="14">
        <f t="shared" si="14"/>
        <v>17300</v>
      </c>
      <c r="G367" s="14">
        <v>24000.0</v>
      </c>
    </row>
    <row r="368" ht="14.25" hidden="1" customHeight="1">
      <c r="A368" s="12" t="s">
        <v>49</v>
      </c>
      <c r="B368" s="12" t="s">
        <v>449</v>
      </c>
      <c r="C368" s="12" t="s">
        <v>96</v>
      </c>
      <c r="D368" s="40">
        <v>32400.0</v>
      </c>
      <c r="E368" s="40">
        <v>45000.0</v>
      </c>
      <c r="F368" s="40">
        <f t="shared" si="14"/>
        <v>38900</v>
      </c>
      <c r="G368" s="40">
        <v>55000.0</v>
      </c>
    </row>
    <row r="369" ht="14.25" hidden="1" customHeight="1">
      <c r="A369" s="12" t="s">
        <v>49</v>
      </c>
      <c r="B369" s="12" t="s">
        <v>450</v>
      </c>
      <c r="C369" s="12" t="s">
        <v>96</v>
      </c>
      <c r="D369" s="40">
        <v>15600.0</v>
      </c>
      <c r="E369" s="40">
        <v>22000.0</v>
      </c>
      <c r="F369" s="40">
        <f t="shared" si="14"/>
        <v>18700</v>
      </c>
      <c r="G369" s="40">
        <v>27000.0</v>
      </c>
    </row>
    <row r="370" ht="14.25" hidden="1" customHeight="1">
      <c r="A370" s="12" t="s">
        <v>49</v>
      </c>
      <c r="B370" s="12" t="s">
        <v>451</v>
      </c>
      <c r="C370" s="12" t="s">
        <v>96</v>
      </c>
      <c r="D370" s="40">
        <v>61200.0</v>
      </c>
      <c r="E370" s="40">
        <v>86000.0</v>
      </c>
      <c r="F370" s="40">
        <f t="shared" si="14"/>
        <v>73400</v>
      </c>
      <c r="G370" s="40">
        <v>104000.0</v>
      </c>
    </row>
    <row r="371" ht="14.25" hidden="1" customHeight="1">
      <c r="A371" s="12" t="s">
        <v>49</v>
      </c>
      <c r="B371" s="12" t="s">
        <v>452</v>
      </c>
      <c r="C371" s="12" t="s">
        <v>96</v>
      </c>
      <c r="D371" s="40">
        <v>19200.0</v>
      </c>
      <c r="E371" s="40">
        <v>27000.0</v>
      </c>
      <c r="F371" s="40">
        <f t="shared" si="14"/>
        <v>23000</v>
      </c>
      <c r="G371" s="40">
        <v>33000.0</v>
      </c>
    </row>
    <row r="372" ht="14.25" hidden="1" customHeight="1">
      <c r="A372" s="12" t="s">
        <v>49</v>
      </c>
      <c r="B372" s="12" t="s">
        <v>453</v>
      </c>
      <c r="C372" s="12" t="s">
        <v>96</v>
      </c>
      <c r="D372" s="40">
        <v>25200.0</v>
      </c>
      <c r="E372" s="40">
        <v>35000.0</v>
      </c>
      <c r="F372" s="40">
        <f t="shared" si="14"/>
        <v>30200</v>
      </c>
      <c r="G372" s="40">
        <v>43000.0</v>
      </c>
    </row>
    <row r="373" ht="14.25" hidden="1" customHeight="1">
      <c r="A373" s="12" t="s">
        <v>49</v>
      </c>
      <c r="B373" s="12" t="s">
        <v>454</v>
      </c>
      <c r="C373" s="12" t="s">
        <v>96</v>
      </c>
      <c r="D373" s="40">
        <v>32400.0</v>
      </c>
      <c r="E373" s="40">
        <v>45000.0</v>
      </c>
      <c r="F373" s="40">
        <f t="shared" si="14"/>
        <v>38900</v>
      </c>
      <c r="G373" s="40">
        <v>55000.0</v>
      </c>
    </row>
    <row r="374" ht="14.25" hidden="1" customHeight="1">
      <c r="A374" s="12" t="s">
        <v>49</v>
      </c>
      <c r="B374" s="13" t="s">
        <v>455</v>
      </c>
      <c r="C374" s="12" t="s">
        <v>96</v>
      </c>
      <c r="D374" s="40">
        <v>15600.0</v>
      </c>
      <c r="E374" s="40">
        <v>22000.0</v>
      </c>
      <c r="F374" s="40">
        <f t="shared" si="14"/>
        <v>18700</v>
      </c>
      <c r="G374" s="40">
        <v>27000.0</v>
      </c>
    </row>
    <row r="375" ht="14.25" hidden="1" customHeight="1">
      <c r="A375" s="12" t="s">
        <v>49</v>
      </c>
      <c r="B375" s="12" t="s">
        <v>456</v>
      </c>
      <c r="C375" s="12" t="s">
        <v>96</v>
      </c>
      <c r="D375" s="40">
        <v>27600.0</v>
      </c>
      <c r="E375" s="40">
        <v>39000.0</v>
      </c>
      <c r="F375" s="40">
        <f t="shared" si="14"/>
        <v>33100</v>
      </c>
      <c r="G375" s="40">
        <v>47000.0</v>
      </c>
    </row>
    <row r="376" ht="14.25" hidden="1" customHeight="1">
      <c r="A376" s="12" t="s">
        <v>49</v>
      </c>
      <c r="B376" s="12" t="s">
        <v>457</v>
      </c>
      <c r="C376" s="12" t="s">
        <v>458</v>
      </c>
      <c r="D376" s="40">
        <v>10800.0</v>
      </c>
      <c r="E376" s="40">
        <v>15000.0</v>
      </c>
      <c r="F376" s="40">
        <f t="shared" si="14"/>
        <v>13000</v>
      </c>
      <c r="G376" s="40">
        <v>18000.0</v>
      </c>
    </row>
    <row r="377" ht="14.25" hidden="1" customHeight="1">
      <c r="A377" s="12" t="s">
        <v>49</v>
      </c>
      <c r="B377" s="12" t="s">
        <v>459</v>
      </c>
      <c r="C377" s="12" t="s">
        <v>17</v>
      </c>
      <c r="D377" s="40">
        <v>1200.0</v>
      </c>
      <c r="E377" s="40">
        <v>2000.0</v>
      </c>
      <c r="F377" s="40">
        <f t="shared" si="14"/>
        <v>1400</v>
      </c>
      <c r="G377" s="40">
        <v>2000.0</v>
      </c>
    </row>
    <row r="378" ht="14.25" hidden="1" customHeight="1">
      <c r="A378" s="12" t="s">
        <v>49</v>
      </c>
      <c r="B378" s="12" t="s">
        <v>460</v>
      </c>
      <c r="C378" s="12" t="s">
        <v>458</v>
      </c>
      <c r="D378" s="40">
        <v>8200.0</v>
      </c>
      <c r="E378" s="40">
        <v>11000.0</v>
      </c>
      <c r="F378" s="40">
        <f t="shared" si="14"/>
        <v>9800</v>
      </c>
      <c r="G378" s="40">
        <v>14000.0</v>
      </c>
    </row>
    <row r="379" ht="14.25" hidden="1" customHeight="1">
      <c r="A379" s="17" t="s">
        <v>49</v>
      </c>
      <c r="B379" s="33" t="s">
        <v>461</v>
      </c>
      <c r="D379" s="44"/>
      <c r="E379" s="55">
        <v>7000.0</v>
      </c>
      <c r="F379" s="55">
        <v>5000.0</v>
      </c>
      <c r="G379" s="55">
        <v>10000.0</v>
      </c>
    </row>
    <row r="380" ht="14.25" hidden="1" customHeight="1">
      <c r="A380" s="12" t="s">
        <v>53</v>
      </c>
      <c r="B380" s="12" t="s">
        <v>462</v>
      </c>
      <c r="C380" s="12" t="s">
        <v>17</v>
      </c>
      <c r="D380" s="40">
        <v>57600.0</v>
      </c>
      <c r="E380" s="40">
        <v>81000.0</v>
      </c>
      <c r="F380" s="40">
        <f t="shared" ref="F380:F395" si="15">ROUND(D380+(D380*0.2),-2)</f>
        <v>69100</v>
      </c>
      <c r="G380" s="40">
        <v>98000.0</v>
      </c>
    </row>
    <row r="381" ht="14.25" hidden="1" customHeight="1">
      <c r="A381" s="12" t="s">
        <v>53</v>
      </c>
      <c r="B381" s="12" t="s">
        <v>463</v>
      </c>
      <c r="C381" s="12" t="s">
        <v>17</v>
      </c>
      <c r="D381" s="40">
        <v>36000.0</v>
      </c>
      <c r="E381" s="40">
        <v>50000.0</v>
      </c>
      <c r="F381" s="40">
        <f t="shared" si="15"/>
        <v>43200</v>
      </c>
      <c r="G381" s="40">
        <v>61000.0</v>
      </c>
    </row>
    <row r="382" ht="14.25" hidden="1" customHeight="1">
      <c r="A382" s="12" t="s">
        <v>53</v>
      </c>
      <c r="B382" s="21" t="s">
        <v>464</v>
      </c>
      <c r="C382" s="12" t="s">
        <v>17</v>
      </c>
      <c r="D382" s="40">
        <v>64800.0</v>
      </c>
      <c r="E382" s="40">
        <v>91000.0</v>
      </c>
      <c r="F382" s="14">
        <f t="shared" si="15"/>
        <v>77800</v>
      </c>
      <c r="G382" s="40">
        <v>110000.0</v>
      </c>
    </row>
    <row r="383" ht="14.25" hidden="1" customHeight="1">
      <c r="A383" s="12" t="s">
        <v>53</v>
      </c>
      <c r="B383" s="12" t="s">
        <v>465</v>
      </c>
      <c r="C383" s="12" t="s">
        <v>466</v>
      </c>
      <c r="D383" s="40">
        <v>27600.0</v>
      </c>
      <c r="E383" s="40">
        <v>39000.0</v>
      </c>
      <c r="F383" s="40">
        <f t="shared" si="15"/>
        <v>33100</v>
      </c>
      <c r="G383" s="40">
        <v>47000.0</v>
      </c>
    </row>
    <row r="384" ht="14.25" hidden="1" customHeight="1">
      <c r="A384" s="12" t="s">
        <v>53</v>
      </c>
      <c r="B384" s="12" t="s">
        <v>467</v>
      </c>
      <c r="C384" s="12" t="s">
        <v>100</v>
      </c>
      <c r="D384" s="40">
        <v>26400.0</v>
      </c>
      <c r="E384" s="40">
        <v>37000.0</v>
      </c>
      <c r="F384" s="40">
        <f t="shared" si="15"/>
        <v>31700</v>
      </c>
      <c r="G384" s="40">
        <v>45000.0</v>
      </c>
    </row>
    <row r="385" ht="14.25" hidden="1" customHeight="1">
      <c r="A385" s="12" t="s">
        <v>53</v>
      </c>
      <c r="B385" s="12" t="s">
        <v>468</v>
      </c>
      <c r="C385" s="12" t="s">
        <v>100</v>
      </c>
      <c r="D385" s="40">
        <v>69600.0</v>
      </c>
      <c r="E385" s="40">
        <v>97000.0</v>
      </c>
      <c r="F385" s="40">
        <f t="shared" si="15"/>
        <v>83500</v>
      </c>
      <c r="G385" s="40">
        <v>118000.0</v>
      </c>
    </row>
    <row r="386" ht="14.25" hidden="1" customHeight="1">
      <c r="A386" s="12" t="s">
        <v>53</v>
      </c>
      <c r="B386" s="12" t="s">
        <v>469</v>
      </c>
      <c r="C386" s="12" t="s">
        <v>100</v>
      </c>
      <c r="D386" s="40">
        <v>57600.0</v>
      </c>
      <c r="E386" s="40">
        <v>81000.0</v>
      </c>
      <c r="F386" s="40">
        <f t="shared" si="15"/>
        <v>69100</v>
      </c>
      <c r="G386" s="40">
        <v>98000.0</v>
      </c>
    </row>
    <row r="387" ht="14.25" hidden="1" customHeight="1">
      <c r="A387" s="12" t="s">
        <v>53</v>
      </c>
      <c r="B387" s="12" t="s">
        <v>470</v>
      </c>
      <c r="C387" s="12" t="s">
        <v>102</v>
      </c>
      <c r="D387" s="40">
        <v>56400.0</v>
      </c>
      <c r="E387" s="40">
        <v>79000.0</v>
      </c>
      <c r="F387" s="40">
        <f t="shared" si="15"/>
        <v>67700</v>
      </c>
      <c r="G387" s="40">
        <v>96000.0</v>
      </c>
    </row>
    <row r="388" ht="14.25" hidden="1" customHeight="1">
      <c r="A388" s="12" t="s">
        <v>53</v>
      </c>
      <c r="B388" s="12" t="s">
        <v>471</v>
      </c>
      <c r="C388" s="12" t="s">
        <v>124</v>
      </c>
      <c r="D388" s="40">
        <v>30000.0</v>
      </c>
      <c r="E388" s="40">
        <v>42000.0</v>
      </c>
      <c r="F388" s="40">
        <f t="shared" si="15"/>
        <v>36000</v>
      </c>
      <c r="G388" s="40">
        <v>51000.0</v>
      </c>
    </row>
    <row r="389" ht="14.25" hidden="1" customHeight="1">
      <c r="A389" s="12" t="s">
        <v>53</v>
      </c>
      <c r="B389" s="12" t="s">
        <v>472</v>
      </c>
      <c r="C389" s="12" t="s">
        <v>102</v>
      </c>
      <c r="D389" s="40">
        <v>39600.0</v>
      </c>
      <c r="E389" s="40">
        <v>55000.0</v>
      </c>
      <c r="F389" s="40">
        <f t="shared" si="15"/>
        <v>47500</v>
      </c>
      <c r="G389" s="40">
        <v>67000.0</v>
      </c>
    </row>
    <row r="390" ht="14.25" hidden="1" customHeight="1">
      <c r="A390" s="12" t="s">
        <v>53</v>
      </c>
      <c r="B390" s="12" t="s">
        <v>473</v>
      </c>
      <c r="C390" s="12" t="s">
        <v>100</v>
      </c>
      <c r="D390" s="40">
        <v>69600.0</v>
      </c>
      <c r="E390" s="40">
        <v>97000.0</v>
      </c>
      <c r="F390" s="40">
        <f t="shared" si="15"/>
        <v>83500</v>
      </c>
      <c r="G390" s="40">
        <v>118000.0</v>
      </c>
    </row>
    <row r="391" ht="14.25" hidden="1" customHeight="1">
      <c r="A391" s="12" t="s">
        <v>53</v>
      </c>
      <c r="B391" s="12" t="s">
        <v>474</v>
      </c>
      <c r="C391" s="12" t="s">
        <v>100</v>
      </c>
      <c r="D391" s="40">
        <v>57600.0</v>
      </c>
      <c r="E391" s="40">
        <v>81000.0</v>
      </c>
      <c r="F391" s="40">
        <f t="shared" si="15"/>
        <v>69100</v>
      </c>
      <c r="G391" s="40">
        <v>98000.0</v>
      </c>
    </row>
    <row r="392" ht="14.25" hidden="1" customHeight="1">
      <c r="A392" s="12" t="s">
        <v>53</v>
      </c>
      <c r="B392" s="12" t="s">
        <v>475</v>
      </c>
      <c r="C392" s="12" t="s">
        <v>476</v>
      </c>
      <c r="D392" s="40">
        <v>36000.0</v>
      </c>
      <c r="E392" s="40">
        <v>50000.0</v>
      </c>
      <c r="F392" s="40">
        <f t="shared" si="15"/>
        <v>43200</v>
      </c>
      <c r="G392" s="40">
        <v>61000.0</v>
      </c>
    </row>
    <row r="393" ht="14.25" hidden="1" customHeight="1">
      <c r="A393" s="12" t="s">
        <v>53</v>
      </c>
      <c r="B393" s="12" t="s">
        <v>477</v>
      </c>
      <c r="C393" s="12" t="s">
        <v>96</v>
      </c>
      <c r="D393" s="40">
        <v>54000.0</v>
      </c>
      <c r="E393" s="40">
        <v>76000.0</v>
      </c>
      <c r="F393" s="40">
        <f t="shared" si="15"/>
        <v>64800</v>
      </c>
      <c r="G393" s="40">
        <v>92000.0</v>
      </c>
    </row>
    <row r="394" ht="14.25" hidden="1" customHeight="1">
      <c r="A394" s="12" t="s">
        <v>53</v>
      </c>
      <c r="B394" s="12" t="s">
        <v>478</v>
      </c>
      <c r="C394" s="12" t="s">
        <v>124</v>
      </c>
      <c r="D394" s="40">
        <v>72000.0</v>
      </c>
      <c r="E394" s="40">
        <v>101000.0</v>
      </c>
      <c r="F394" s="40">
        <f t="shared" si="15"/>
        <v>86400</v>
      </c>
      <c r="G394" s="40">
        <v>122000.0</v>
      </c>
    </row>
    <row r="395" ht="14.25" hidden="1" customHeight="1">
      <c r="A395" s="12" t="s">
        <v>53</v>
      </c>
      <c r="B395" s="12" t="s">
        <v>479</v>
      </c>
      <c r="C395" s="12" t="s">
        <v>17</v>
      </c>
      <c r="D395" s="50">
        <v>60000.0</v>
      </c>
      <c r="E395" s="40">
        <v>84000.0</v>
      </c>
      <c r="F395" s="40">
        <f t="shared" si="15"/>
        <v>72000</v>
      </c>
      <c r="G395" s="40">
        <v>102000.0</v>
      </c>
    </row>
    <row r="396" ht="14.25" hidden="1" customHeight="1">
      <c r="A396" s="12" t="s">
        <v>56</v>
      </c>
      <c r="B396" s="12" t="s">
        <v>480</v>
      </c>
      <c r="C396" s="12" t="s">
        <v>102</v>
      </c>
      <c r="D396" s="40">
        <v>5000.0</v>
      </c>
      <c r="E396" s="40">
        <v>8000.0</v>
      </c>
      <c r="F396" s="40">
        <f t="shared" ref="F396:F406" si="16">ROUND(D396+(D396*0.25),-2)</f>
        <v>6300</v>
      </c>
      <c r="G396" s="40">
        <v>10000.0</v>
      </c>
    </row>
    <row r="397" ht="14.25" hidden="1" customHeight="1">
      <c r="A397" s="12" t="s">
        <v>56</v>
      </c>
      <c r="B397" s="12" t="s">
        <v>481</v>
      </c>
      <c r="C397" s="12" t="s">
        <v>102</v>
      </c>
      <c r="D397" s="40">
        <v>5000.0</v>
      </c>
      <c r="E397" s="40">
        <v>8000.0</v>
      </c>
      <c r="F397" s="40">
        <f t="shared" si="16"/>
        <v>6300</v>
      </c>
      <c r="G397" s="40">
        <v>10000.0</v>
      </c>
    </row>
    <row r="398" ht="14.25" hidden="1" customHeight="1">
      <c r="A398" s="12" t="s">
        <v>56</v>
      </c>
      <c r="B398" s="12" t="s">
        <v>482</v>
      </c>
      <c r="C398" s="12" t="s">
        <v>17</v>
      </c>
      <c r="D398" s="40">
        <v>400.0</v>
      </c>
      <c r="E398" s="40">
        <v>1000.0</v>
      </c>
      <c r="F398" s="40">
        <f t="shared" si="16"/>
        <v>500</v>
      </c>
      <c r="G398" s="40">
        <v>1000.0</v>
      </c>
    </row>
    <row r="399" ht="14.25" hidden="1" customHeight="1">
      <c r="A399" s="12" t="s">
        <v>56</v>
      </c>
      <c r="B399" s="12" t="s">
        <v>483</v>
      </c>
      <c r="C399" s="12" t="s">
        <v>17</v>
      </c>
      <c r="D399" s="40">
        <v>400.0</v>
      </c>
      <c r="E399" s="40">
        <v>1000.0</v>
      </c>
      <c r="F399" s="40">
        <f t="shared" si="16"/>
        <v>500</v>
      </c>
      <c r="G399" s="40">
        <v>1000.0</v>
      </c>
    </row>
    <row r="400" ht="14.25" hidden="1" customHeight="1">
      <c r="A400" s="12" t="s">
        <v>56</v>
      </c>
      <c r="B400" s="12" t="s">
        <v>484</v>
      </c>
      <c r="C400" s="12" t="s">
        <v>17</v>
      </c>
      <c r="D400" s="40">
        <v>400.0</v>
      </c>
      <c r="E400" s="40">
        <v>1000.0</v>
      </c>
      <c r="F400" s="40">
        <f t="shared" si="16"/>
        <v>500</v>
      </c>
      <c r="G400" s="40">
        <v>1000.0</v>
      </c>
    </row>
    <row r="401" ht="14.25" hidden="1" customHeight="1">
      <c r="A401" s="12" t="s">
        <v>56</v>
      </c>
      <c r="B401" s="12" t="s">
        <v>485</v>
      </c>
      <c r="C401" s="12" t="s">
        <v>17</v>
      </c>
      <c r="D401" s="40">
        <v>400.0</v>
      </c>
      <c r="E401" s="40">
        <v>1000.0</v>
      </c>
      <c r="F401" s="40">
        <f t="shared" si="16"/>
        <v>500</v>
      </c>
      <c r="G401" s="40">
        <v>1000.0</v>
      </c>
    </row>
    <row r="402" ht="14.25" hidden="1" customHeight="1">
      <c r="A402" s="12" t="s">
        <v>56</v>
      </c>
      <c r="B402" s="12" t="s">
        <v>486</v>
      </c>
      <c r="C402" s="12" t="s">
        <v>17</v>
      </c>
      <c r="D402" s="40">
        <v>400.0</v>
      </c>
      <c r="E402" s="40">
        <v>1000.0</v>
      </c>
      <c r="F402" s="40">
        <f t="shared" si="16"/>
        <v>500</v>
      </c>
      <c r="G402" s="40">
        <v>1000.0</v>
      </c>
    </row>
    <row r="403" ht="14.25" hidden="1" customHeight="1">
      <c r="A403" s="12" t="s">
        <v>56</v>
      </c>
      <c r="B403" s="12" t="s">
        <v>487</v>
      </c>
      <c r="C403" s="12" t="s">
        <v>17</v>
      </c>
      <c r="D403" s="40">
        <v>400.0</v>
      </c>
      <c r="E403" s="40">
        <v>1000.0</v>
      </c>
      <c r="F403" s="40">
        <f t="shared" si="16"/>
        <v>500</v>
      </c>
      <c r="G403" s="40">
        <v>1000.0</v>
      </c>
    </row>
    <row r="404" ht="14.25" hidden="1" customHeight="1">
      <c r="A404" s="12" t="s">
        <v>56</v>
      </c>
      <c r="B404" s="12" t="s">
        <v>488</v>
      </c>
      <c r="C404" s="12" t="s">
        <v>17</v>
      </c>
      <c r="D404" s="40">
        <v>400.0</v>
      </c>
      <c r="E404" s="40">
        <v>1000.0</v>
      </c>
      <c r="F404" s="40">
        <f t="shared" si="16"/>
        <v>500</v>
      </c>
      <c r="G404" s="40">
        <v>1000.0</v>
      </c>
    </row>
    <row r="405" ht="14.25" hidden="1" customHeight="1">
      <c r="A405" s="12" t="s">
        <v>56</v>
      </c>
      <c r="B405" s="12" t="s">
        <v>489</v>
      </c>
      <c r="C405" s="12" t="s">
        <v>17</v>
      </c>
      <c r="D405" s="40">
        <v>5000.0</v>
      </c>
      <c r="E405" s="40">
        <v>8000.0</v>
      </c>
      <c r="F405" s="40">
        <f t="shared" si="16"/>
        <v>6300</v>
      </c>
      <c r="G405" s="40">
        <v>10000.0</v>
      </c>
    </row>
    <row r="406" ht="14.25" hidden="1" customHeight="1">
      <c r="A406" s="12" t="s">
        <v>56</v>
      </c>
      <c r="B406" s="21" t="s">
        <v>490</v>
      </c>
      <c r="C406" s="12" t="s">
        <v>17</v>
      </c>
      <c r="D406" s="40">
        <v>2900.0</v>
      </c>
      <c r="E406" s="40">
        <v>4000.0</v>
      </c>
      <c r="F406" s="40">
        <f t="shared" si="16"/>
        <v>3600</v>
      </c>
      <c r="G406" s="40">
        <v>6000.0</v>
      </c>
    </row>
    <row r="407" ht="14.25" hidden="1" customHeight="1">
      <c r="A407" s="12" t="s">
        <v>61</v>
      </c>
      <c r="B407" s="12" t="s">
        <v>491</v>
      </c>
      <c r="C407" s="12" t="s">
        <v>17</v>
      </c>
      <c r="D407" s="40">
        <v>1200.0</v>
      </c>
      <c r="E407" s="40">
        <v>2400.0</v>
      </c>
      <c r="F407" s="40">
        <f t="shared" ref="F407:F439" si="17">ROUND(D407+(D407*0.2),-2)</f>
        <v>1400</v>
      </c>
      <c r="G407" s="40">
        <v>5400.0</v>
      </c>
    </row>
    <row r="408" ht="14.25" hidden="1" customHeight="1">
      <c r="A408" s="12" t="s">
        <v>61</v>
      </c>
      <c r="B408" s="12" t="s">
        <v>492</v>
      </c>
      <c r="C408" s="12" t="s">
        <v>17</v>
      </c>
      <c r="D408" s="40">
        <v>3400.0</v>
      </c>
      <c r="E408" s="40">
        <v>6800.0</v>
      </c>
      <c r="F408" s="40">
        <f t="shared" si="17"/>
        <v>4100</v>
      </c>
      <c r="G408" s="40">
        <v>15300.0</v>
      </c>
    </row>
    <row r="409" ht="14.25" hidden="1" customHeight="1">
      <c r="A409" s="12" t="s">
        <v>61</v>
      </c>
      <c r="B409" s="12" t="s">
        <v>493</v>
      </c>
      <c r="C409" s="12" t="s">
        <v>17</v>
      </c>
      <c r="D409" s="40">
        <v>2200.0</v>
      </c>
      <c r="E409" s="40">
        <v>4400.0</v>
      </c>
      <c r="F409" s="40">
        <f t="shared" si="17"/>
        <v>2600</v>
      </c>
      <c r="G409" s="40">
        <v>9900.0</v>
      </c>
    </row>
    <row r="410" ht="14.25" hidden="1" customHeight="1">
      <c r="A410" s="12" t="s">
        <v>61</v>
      </c>
      <c r="B410" s="12" t="s">
        <v>494</v>
      </c>
      <c r="C410" s="12" t="s">
        <v>17</v>
      </c>
      <c r="D410" s="40">
        <v>4800.0</v>
      </c>
      <c r="E410" s="40">
        <v>8600.0</v>
      </c>
      <c r="F410" s="40">
        <f t="shared" si="17"/>
        <v>5800</v>
      </c>
      <c r="G410" s="40">
        <v>21600.0</v>
      </c>
    </row>
    <row r="411" ht="14.25" hidden="1" customHeight="1">
      <c r="A411" s="12" t="s">
        <v>61</v>
      </c>
      <c r="B411" s="12" t="s">
        <v>495</v>
      </c>
      <c r="C411" s="12" t="s">
        <v>17</v>
      </c>
      <c r="D411" s="40">
        <v>2200.0</v>
      </c>
      <c r="E411" s="40">
        <v>4400.0</v>
      </c>
      <c r="F411" s="40">
        <f t="shared" si="17"/>
        <v>2600</v>
      </c>
      <c r="G411" s="40">
        <v>9900.0</v>
      </c>
    </row>
    <row r="412" ht="14.25" hidden="1" customHeight="1">
      <c r="A412" s="12" t="s">
        <v>61</v>
      </c>
      <c r="B412" s="12" t="s">
        <v>496</v>
      </c>
      <c r="C412" s="12" t="s">
        <v>17</v>
      </c>
      <c r="D412" s="40">
        <v>7200.0</v>
      </c>
      <c r="E412" s="40">
        <v>14400.0</v>
      </c>
      <c r="F412" s="40">
        <f t="shared" si="17"/>
        <v>8600</v>
      </c>
      <c r="G412" s="40">
        <v>28800.0</v>
      </c>
    </row>
    <row r="413" ht="14.25" hidden="1" customHeight="1">
      <c r="A413" s="12" t="s">
        <v>61</v>
      </c>
      <c r="B413" s="12" t="s">
        <v>497</v>
      </c>
      <c r="C413" s="12" t="s">
        <v>17</v>
      </c>
      <c r="D413" s="40">
        <v>3600.0</v>
      </c>
      <c r="E413" s="40">
        <v>7200.0</v>
      </c>
      <c r="F413" s="40">
        <f t="shared" si="17"/>
        <v>4300</v>
      </c>
      <c r="G413" s="40">
        <v>16200.0</v>
      </c>
    </row>
    <row r="414" ht="14.25" hidden="1" customHeight="1">
      <c r="A414" s="12" t="s">
        <v>61</v>
      </c>
      <c r="B414" s="12" t="s">
        <v>498</v>
      </c>
      <c r="C414" s="12" t="s">
        <v>17</v>
      </c>
      <c r="D414" s="40">
        <v>3600.0</v>
      </c>
      <c r="E414" s="40">
        <v>7200.0</v>
      </c>
      <c r="F414" s="40">
        <f t="shared" si="17"/>
        <v>4300</v>
      </c>
      <c r="G414" s="40">
        <v>16200.0</v>
      </c>
    </row>
    <row r="415" ht="14.25" hidden="1" customHeight="1">
      <c r="A415" s="12" t="s">
        <v>61</v>
      </c>
      <c r="B415" s="12" t="s">
        <v>499</v>
      </c>
      <c r="C415" s="12" t="s">
        <v>17</v>
      </c>
      <c r="D415" s="40">
        <v>1200.0</v>
      </c>
      <c r="E415" s="40">
        <v>2400.0</v>
      </c>
      <c r="F415" s="40">
        <f t="shared" si="17"/>
        <v>1400</v>
      </c>
      <c r="G415" s="40">
        <v>5400.0</v>
      </c>
    </row>
    <row r="416" ht="14.25" hidden="1" customHeight="1">
      <c r="A416" s="12" t="s">
        <v>61</v>
      </c>
      <c r="B416" s="12" t="s">
        <v>500</v>
      </c>
      <c r="C416" s="12" t="s">
        <v>17</v>
      </c>
      <c r="D416" s="40">
        <v>1000.0</v>
      </c>
      <c r="E416" s="40">
        <v>2000.0</v>
      </c>
      <c r="F416" s="40">
        <f t="shared" si="17"/>
        <v>1200</v>
      </c>
      <c r="G416" s="40">
        <v>4500.0</v>
      </c>
    </row>
    <row r="417" ht="14.25" hidden="1" customHeight="1">
      <c r="A417" s="12" t="s">
        <v>64</v>
      </c>
      <c r="B417" s="12" t="s">
        <v>501</v>
      </c>
      <c r="C417" s="12" t="s">
        <v>466</v>
      </c>
      <c r="D417" s="40">
        <v>38400.0</v>
      </c>
      <c r="E417" s="40">
        <v>54000.0</v>
      </c>
      <c r="F417" s="40">
        <f t="shared" si="17"/>
        <v>46100</v>
      </c>
      <c r="G417" s="40">
        <v>65000.0</v>
      </c>
    </row>
    <row r="418" ht="14.25" hidden="1" customHeight="1">
      <c r="A418" s="12" t="s">
        <v>64</v>
      </c>
      <c r="B418" s="12" t="s">
        <v>502</v>
      </c>
      <c r="C418" s="12" t="s">
        <v>458</v>
      </c>
      <c r="D418" s="40">
        <v>104400.0</v>
      </c>
      <c r="E418" s="40">
        <v>146000.0</v>
      </c>
      <c r="F418" s="40">
        <f t="shared" si="17"/>
        <v>125300</v>
      </c>
      <c r="G418" s="40">
        <v>177000.0</v>
      </c>
    </row>
    <row r="419" ht="14.25" hidden="1" customHeight="1">
      <c r="A419" s="12" t="s">
        <v>64</v>
      </c>
      <c r="B419" s="56" t="s">
        <v>503</v>
      </c>
      <c r="C419" s="12"/>
      <c r="D419" s="40">
        <v>24000.0</v>
      </c>
      <c r="E419" s="40">
        <v>34000.0</v>
      </c>
      <c r="F419" s="40">
        <f t="shared" si="17"/>
        <v>28800</v>
      </c>
      <c r="G419" s="40">
        <v>41000.0</v>
      </c>
    </row>
    <row r="420" ht="14.25" hidden="1" customHeight="1">
      <c r="A420" s="12" t="s">
        <v>64</v>
      </c>
      <c r="B420" s="12" t="s">
        <v>504</v>
      </c>
      <c r="C420" s="12" t="s">
        <v>102</v>
      </c>
      <c r="D420" s="40">
        <v>24000.0</v>
      </c>
      <c r="E420" s="40">
        <v>34000.0</v>
      </c>
      <c r="F420" s="40">
        <f t="shared" si="17"/>
        <v>28800</v>
      </c>
      <c r="G420" s="40">
        <v>41000.0</v>
      </c>
    </row>
    <row r="421" ht="14.25" hidden="1" customHeight="1">
      <c r="A421" s="12" t="s">
        <v>64</v>
      </c>
      <c r="B421" s="12" t="s">
        <v>505</v>
      </c>
      <c r="C421" s="12" t="s">
        <v>102</v>
      </c>
      <c r="D421" s="40">
        <v>42000.0</v>
      </c>
      <c r="E421" s="40">
        <v>59000.0</v>
      </c>
      <c r="F421" s="40">
        <f t="shared" si="17"/>
        <v>50400</v>
      </c>
      <c r="G421" s="40">
        <v>71000.0</v>
      </c>
    </row>
    <row r="422" ht="14.25" hidden="1" customHeight="1">
      <c r="A422" s="12" t="s">
        <v>64</v>
      </c>
      <c r="B422" s="12" t="s">
        <v>506</v>
      </c>
      <c r="C422" s="12" t="s">
        <v>466</v>
      </c>
      <c r="D422" s="40">
        <v>26400.0</v>
      </c>
      <c r="E422" s="40">
        <v>37000.0</v>
      </c>
      <c r="F422" s="40">
        <f t="shared" si="17"/>
        <v>31700</v>
      </c>
      <c r="G422" s="40">
        <v>45000.0</v>
      </c>
    </row>
    <row r="423" ht="14.25" hidden="1" customHeight="1">
      <c r="A423" s="12" t="s">
        <v>64</v>
      </c>
      <c r="B423" s="12" t="s">
        <v>507</v>
      </c>
      <c r="C423" s="12" t="s">
        <v>458</v>
      </c>
      <c r="D423" s="40">
        <v>75600.0</v>
      </c>
      <c r="E423" s="40">
        <v>106000.0</v>
      </c>
      <c r="F423" s="14">
        <f t="shared" si="17"/>
        <v>90700</v>
      </c>
      <c r="G423" s="40">
        <v>129000.0</v>
      </c>
    </row>
    <row r="424" ht="14.25" hidden="1" customHeight="1">
      <c r="A424" s="12" t="s">
        <v>64</v>
      </c>
      <c r="B424" s="12" t="s">
        <v>508</v>
      </c>
      <c r="C424" s="12" t="s">
        <v>257</v>
      </c>
      <c r="D424" s="40">
        <v>72000.0</v>
      </c>
      <c r="E424" s="40">
        <v>101000.0</v>
      </c>
      <c r="F424" s="40">
        <f t="shared" si="17"/>
        <v>86400</v>
      </c>
      <c r="G424" s="40">
        <v>122000.0</v>
      </c>
    </row>
    <row r="425" ht="14.25" hidden="1" customHeight="1">
      <c r="A425" s="12" t="s">
        <v>64</v>
      </c>
      <c r="B425" s="12" t="s">
        <v>509</v>
      </c>
      <c r="C425" s="12" t="s">
        <v>257</v>
      </c>
      <c r="D425" s="40">
        <v>84000.0</v>
      </c>
      <c r="E425" s="40">
        <v>118000.0</v>
      </c>
      <c r="F425" s="40">
        <f t="shared" si="17"/>
        <v>100800</v>
      </c>
      <c r="G425" s="40">
        <v>143000.0</v>
      </c>
    </row>
    <row r="426" ht="14.25" hidden="1" customHeight="1">
      <c r="A426" s="12" t="s">
        <v>64</v>
      </c>
      <c r="B426" s="12" t="s">
        <v>510</v>
      </c>
      <c r="C426" s="12" t="s">
        <v>17</v>
      </c>
      <c r="D426" s="40">
        <v>31800.0</v>
      </c>
      <c r="E426" s="40">
        <v>45000.0</v>
      </c>
      <c r="F426" s="40">
        <f t="shared" si="17"/>
        <v>38200</v>
      </c>
      <c r="G426" s="40">
        <v>54000.0</v>
      </c>
    </row>
    <row r="427" ht="14.25" hidden="1" customHeight="1">
      <c r="A427" s="12" t="s">
        <v>64</v>
      </c>
      <c r="B427" s="12" t="s">
        <v>511</v>
      </c>
      <c r="C427" s="12" t="s">
        <v>96</v>
      </c>
      <c r="D427" s="40">
        <v>132000.0</v>
      </c>
      <c r="E427" s="40">
        <v>185000.0</v>
      </c>
      <c r="F427" s="40">
        <f t="shared" si="17"/>
        <v>158400</v>
      </c>
      <c r="G427" s="40">
        <v>224000.0</v>
      </c>
    </row>
    <row r="428" ht="14.25" hidden="1" customHeight="1">
      <c r="A428" s="12" t="s">
        <v>64</v>
      </c>
      <c r="B428" s="12" t="s">
        <v>512</v>
      </c>
      <c r="C428" s="12" t="s">
        <v>17</v>
      </c>
      <c r="D428" s="40">
        <v>72000.0</v>
      </c>
      <c r="E428" s="40">
        <v>101000.0</v>
      </c>
      <c r="F428" s="40">
        <f t="shared" si="17"/>
        <v>86400</v>
      </c>
      <c r="G428" s="40">
        <v>122000.0</v>
      </c>
    </row>
    <row r="429" ht="14.25" hidden="1" customHeight="1">
      <c r="A429" s="12" t="s">
        <v>64</v>
      </c>
      <c r="B429" s="12" t="s">
        <v>513</v>
      </c>
      <c r="C429" s="12" t="s">
        <v>17</v>
      </c>
      <c r="D429" s="40">
        <v>72000.0</v>
      </c>
      <c r="E429" s="40">
        <v>101000.0</v>
      </c>
      <c r="F429" s="40">
        <f t="shared" si="17"/>
        <v>86400</v>
      </c>
      <c r="G429" s="40">
        <v>122000.0</v>
      </c>
    </row>
    <row r="430" ht="14.25" hidden="1" customHeight="1">
      <c r="A430" s="12" t="s">
        <v>64</v>
      </c>
      <c r="B430" s="12" t="s">
        <v>514</v>
      </c>
      <c r="C430" s="12" t="s">
        <v>257</v>
      </c>
      <c r="D430" s="40">
        <v>120000.0</v>
      </c>
      <c r="E430" s="40">
        <v>168000.0</v>
      </c>
      <c r="F430" s="40">
        <f t="shared" si="17"/>
        <v>144000</v>
      </c>
      <c r="G430" s="40">
        <v>204000.0</v>
      </c>
    </row>
    <row r="431" ht="14.25" hidden="1" customHeight="1">
      <c r="A431" s="12" t="s">
        <v>64</v>
      </c>
      <c r="B431" s="12" t="s">
        <v>515</v>
      </c>
      <c r="C431" s="12" t="s">
        <v>96</v>
      </c>
      <c r="D431" s="40">
        <v>78000.0</v>
      </c>
      <c r="E431" s="40">
        <v>109000.0</v>
      </c>
      <c r="F431" s="40">
        <f t="shared" si="17"/>
        <v>93600</v>
      </c>
      <c r="G431" s="40">
        <v>133000.0</v>
      </c>
    </row>
    <row r="432" ht="14.25" hidden="1" customHeight="1">
      <c r="A432" s="12" t="s">
        <v>64</v>
      </c>
      <c r="B432" s="12" t="s">
        <v>516</v>
      </c>
      <c r="C432" s="12" t="s">
        <v>96</v>
      </c>
      <c r="D432" s="40">
        <v>84000.0</v>
      </c>
      <c r="E432" s="40">
        <v>118000.0</v>
      </c>
      <c r="F432" s="40">
        <f t="shared" si="17"/>
        <v>100800</v>
      </c>
      <c r="G432" s="40">
        <v>143000.0</v>
      </c>
    </row>
    <row r="433" ht="14.25" hidden="1" customHeight="1">
      <c r="A433" s="12" t="s">
        <v>64</v>
      </c>
      <c r="B433" s="12" t="s">
        <v>517</v>
      </c>
      <c r="C433" s="12" t="s">
        <v>96</v>
      </c>
      <c r="D433" s="40">
        <v>120000.0</v>
      </c>
      <c r="E433" s="40">
        <v>168000.0</v>
      </c>
      <c r="F433" s="40">
        <f t="shared" si="17"/>
        <v>144000</v>
      </c>
      <c r="G433" s="40">
        <v>204000.0</v>
      </c>
    </row>
    <row r="434" ht="14.25" hidden="1" customHeight="1">
      <c r="A434" s="12" t="s">
        <v>64</v>
      </c>
      <c r="B434" s="12" t="s">
        <v>518</v>
      </c>
      <c r="C434" s="12" t="s">
        <v>96</v>
      </c>
      <c r="D434" s="40">
        <v>120000.0</v>
      </c>
      <c r="E434" s="40">
        <v>168000.0</v>
      </c>
      <c r="F434" s="40">
        <f t="shared" si="17"/>
        <v>144000</v>
      </c>
      <c r="G434" s="40">
        <v>204000.0</v>
      </c>
    </row>
    <row r="435" ht="14.25" hidden="1" customHeight="1">
      <c r="A435" s="12" t="s">
        <v>64</v>
      </c>
      <c r="B435" s="12" t="s">
        <v>519</v>
      </c>
      <c r="C435" s="12" t="s">
        <v>118</v>
      </c>
      <c r="D435" s="40">
        <v>48000.0</v>
      </c>
      <c r="E435" s="40">
        <v>67000.0</v>
      </c>
      <c r="F435" s="40">
        <f t="shared" si="17"/>
        <v>57600</v>
      </c>
      <c r="G435" s="40">
        <v>82000.0</v>
      </c>
    </row>
    <row r="436" ht="14.25" hidden="1" customHeight="1">
      <c r="A436" s="12" t="s">
        <v>64</v>
      </c>
      <c r="B436" s="12" t="s">
        <v>520</v>
      </c>
      <c r="C436" s="12" t="s">
        <v>118</v>
      </c>
      <c r="D436" s="40">
        <v>60000.0</v>
      </c>
      <c r="E436" s="40">
        <v>84000.0</v>
      </c>
      <c r="F436" s="40">
        <f t="shared" si="17"/>
        <v>72000</v>
      </c>
      <c r="G436" s="40">
        <v>102000.0</v>
      </c>
    </row>
    <row r="437" ht="14.25" hidden="1" customHeight="1">
      <c r="A437" s="12" t="s">
        <v>64</v>
      </c>
      <c r="B437" s="12" t="s">
        <v>521</v>
      </c>
      <c r="C437" s="12" t="s">
        <v>118</v>
      </c>
      <c r="D437" s="40">
        <v>66000.0</v>
      </c>
      <c r="E437" s="40">
        <v>92000.0</v>
      </c>
      <c r="F437" s="40">
        <f t="shared" si="17"/>
        <v>79200</v>
      </c>
      <c r="G437" s="40">
        <v>112000.0</v>
      </c>
    </row>
    <row r="438" ht="14.25" hidden="1" customHeight="1">
      <c r="A438" s="12" t="s">
        <v>64</v>
      </c>
      <c r="B438" s="12" t="s">
        <v>522</v>
      </c>
      <c r="C438" s="12" t="s">
        <v>118</v>
      </c>
      <c r="D438" s="40">
        <v>84000.0</v>
      </c>
      <c r="E438" s="40">
        <v>118000.0</v>
      </c>
      <c r="F438" s="40">
        <f t="shared" si="17"/>
        <v>100800</v>
      </c>
      <c r="G438" s="40">
        <v>143000.0</v>
      </c>
    </row>
    <row r="439" ht="14.25" hidden="1" customHeight="1">
      <c r="A439" s="12" t="s">
        <v>68</v>
      </c>
      <c r="B439" s="12" t="s">
        <v>523</v>
      </c>
      <c r="C439" s="12" t="s">
        <v>130</v>
      </c>
      <c r="D439" s="40">
        <v>84000.0</v>
      </c>
      <c r="E439" s="40">
        <v>118000.0</v>
      </c>
      <c r="F439" s="40">
        <f t="shared" si="17"/>
        <v>100800</v>
      </c>
      <c r="G439" s="40">
        <v>168000.0</v>
      </c>
    </row>
    <row r="440" ht="14.25" hidden="1" customHeight="1">
      <c r="A440" s="12" t="s">
        <v>68</v>
      </c>
      <c r="B440" s="12" t="s">
        <v>524</v>
      </c>
      <c r="C440" s="12" t="s">
        <v>17</v>
      </c>
      <c r="D440" s="40">
        <v>36000.0</v>
      </c>
      <c r="E440" s="57">
        <v>53000.0</v>
      </c>
      <c r="F440" s="57">
        <v>40000.0</v>
      </c>
      <c r="G440" s="57">
        <v>65000.0</v>
      </c>
    </row>
    <row r="441" ht="14.25" hidden="1" customHeight="1">
      <c r="A441" s="12" t="s">
        <v>68</v>
      </c>
      <c r="B441" s="21" t="s">
        <v>525</v>
      </c>
      <c r="C441" s="12" t="s">
        <v>458</v>
      </c>
      <c r="D441" s="40">
        <v>66000.0</v>
      </c>
      <c r="E441" s="40">
        <v>92000.0</v>
      </c>
      <c r="F441" s="40">
        <f t="shared" ref="F441:F450" si="18">ROUND(D441+(D441*0.2),-2)</f>
        <v>79200</v>
      </c>
      <c r="G441" s="40">
        <v>132000.0</v>
      </c>
    </row>
    <row r="442" ht="14.25" hidden="1" customHeight="1">
      <c r="A442" s="12" t="s">
        <v>68</v>
      </c>
      <c r="B442" s="12" t="s">
        <v>526</v>
      </c>
      <c r="C442" s="12" t="s">
        <v>100</v>
      </c>
      <c r="D442" s="40">
        <v>72000.0</v>
      </c>
      <c r="E442" s="40">
        <v>101000.0</v>
      </c>
      <c r="F442" s="40">
        <f t="shared" si="18"/>
        <v>86400</v>
      </c>
      <c r="G442" s="40">
        <v>144000.0</v>
      </c>
    </row>
    <row r="443" ht="14.25" hidden="1" customHeight="1">
      <c r="A443" s="12" t="s">
        <v>68</v>
      </c>
      <c r="B443" s="12" t="s">
        <v>527</v>
      </c>
      <c r="C443" s="12" t="s">
        <v>17</v>
      </c>
      <c r="D443" s="40">
        <v>38400.0</v>
      </c>
      <c r="E443" s="40">
        <v>54000.0</v>
      </c>
      <c r="F443" s="40">
        <f t="shared" si="18"/>
        <v>46100</v>
      </c>
      <c r="G443" s="40">
        <v>77000.0</v>
      </c>
    </row>
    <row r="444" ht="14.25" hidden="1" customHeight="1">
      <c r="A444" s="12" t="s">
        <v>68</v>
      </c>
      <c r="B444" s="56" t="s">
        <v>528</v>
      </c>
      <c r="C444" s="12"/>
      <c r="D444" s="40">
        <v>48000.0</v>
      </c>
      <c r="E444" s="40">
        <v>67000.0</v>
      </c>
      <c r="F444" s="40">
        <f t="shared" si="18"/>
        <v>57600</v>
      </c>
      <c r="G444" s="40">
        <v>96000.0</v>
      </c>
    </row>
    <row r="445" ht="14.25" hidden="1" customHeight="1">
      <c r="A445" s="12" t="s">
        <v>68</v>
      </c>
      <c r="B445" s="12" t="s">
        <v>529</v>
      </c>
      <c r="C445" s="12" t="s">
        <v>100</v>
      </c>
      <c r="D445" s="40">
        <v>78000.0</v>
      </c>
      <c r="E445" s="40">
        <v>109000.0</v>
      </c>
      <c r="F445" s="40">
        <f t="shared" si="18"/>
        <v>93600</v>
      </c>
      <c r="G445" s="40">
        <v>156000.0</v>
      </c>
    </row>
    <row r="446" ht="14.25" hidden="1" customHeight="1">
      <c r="A446" s="12" t="s">
        <v>68</v>
      </c>
      <c r="B446" s="12" t="s">
        <v>530</v>
      </c>
      <c r="C446" s="12" t="s">
        <v>17</v>
      </c>
      <c r="D446" s="50">
        <v>48000.0</v>
      </c>
      <c r="E446" s="40">
        <v>67000.0</v>
      </c>
      <c r="F446" s="40">
        <f t="shared" si="18"/>
        <v>57600</v>
      </c>
      <c r="G446" s="40">
        <v>96000.0</v>
      </c>
    </row>
    <row r="447" ht="14.25" hidden="1" customHeight="1">
      <c r="A447" s="12" t="s">
        <v>68</v>
      </c>
      <c r="B447" s="12" t="s">
        <v>531</v>
      </c>
      <c r="C447" s="12" t="s">
        <v>17</v>
      </c>
      <c r="D447" s="50">
        <v>51600.0</v>
      </c>
      <c r="E447" s="40">
        <v>72000.0</v>
      </c>
      <c r="F447" s="40">
        <f t="shared" si="18"/>
        <v>61900</v>
      </c>
      <c r="G447" s="40">
        <v>103000.0</v>
      </c>
    </row>
    <row r="448" ht="14.25" hidden="1" customHeight="1">
      <c r="A448" s="12" t="s">
        <v>68</v>
      </c>
      <c r="B448" s="12" t="s">
        <v>532</v>
      </c>
      <c r="C448" s="12" t="s">
        <v>17</v>
      </c>
      <c r="D448" s="50">
        <v>90000.0</v>
      </c>
      <c r="E448" s="40">
        <v>126000.0</v>
      </c>
      <c r="F448" s="40">
        <f t="shared" si="18"/>
        <v>108000</v>
      </c>
      <c r="G448" s="40">
        <v>180000.0</v>
      </c>
    </row>
    <row r="449" ht="14.25" hidden="1" customHeight="1">
      <c r="A449" s="12" t="s">
        <v>68</v>
      </c>
      <c r="B449" s="12" t="s">
        <v>533</v>
      </c>
      <c r="C449" s="12" t="s">
        <v>17</v>
      </c>
      <c r="D449" s="50">
        <v>90000.0</v>
      </c>
      <c r="E449" s="40">
        <v>126000.0</v>
      </c>
      <c r="F449" s="40">
        <f t="shared" si="18"/>
        <v>108000</v>
      </c>
      <c r="G449" s="40">
        <v>180000.0</v>
      </c>
    </row>
    <row r="450" ht="14.25" hidden="1" customHeight="1">
      <c r="A450" s="12" t="s">
        <v>68</v>
      </c>
      <c r="B450" s="12" t="s">
        <v>534</v>
      </c>
      <c r="C450" s="12" t="s">
        <v>17</v>
      </c>
      <c r="D450" s="50">
        <v>37200.0</v>
      </c>
      <c r="E450" s="40">
        <v>52000.0</v>
      </c>
      <c r="F450" s="40">
        <f t="shared" si="18"/>
        <v>44600</v>
      </c>
      <c r="G450" s="40">
        <v>74000.0</v>
      </c>
    </row>
    <row r="451" ht="14.25" hidden="1" customHeight="1">
      <c r="A451" s="12" t="s">
        <v>68</v>
      </c>
      <c r="B451" s="12" t="s">
        <v>535</v>
      </c>
      <c r="C451" s="12" t="s">
        <v>17</v>
      </c>
      <c r="D451" s="58">
        <v>90000.0</v>
      </c>
      <c r="E451" s="57">
        <v>126000.0</v>
      </c>
      <c r="F451" s="57">
        <v>100000.0</v>
      </c>
      <c r="G451" s="40">
        <v>67000.0</v>
      </c>
    </row>
    <row r="452" ht="14.25" hidden="1" customHeight="1">
      <c r="A452" s="12" t="s">
        <v>68</v>
      </c>
      <c r="B452" s="12" t="s">
        <v>536</v>
      </c>
      <c r="C452" s="12" t="s">
        <v>17</v>
      </c>
      <c r="D452" s="50">
        <v>90000.0</v>
      </c>
      <c r="E452" s="40">
        <v>126000.0</v>
      </c>
      <c r="F452" s="40">
        <f t="shared" ref="F452:F468" si="19">ROUND(D452+(D452*0.2),-2)</f>
        <v>108000</v>
      </c>
      <c r="G452" s="40">
        <v>180000.0</v>
      </c>
    </row>
    <row r="453" ht="14.25" hidden="1" customHeight="1">
      <c r="A453" s="12" t="s">
        <v>68</v>
      </c>
      <c r="B453" s="12" t="s">
        <v>537</v>
      </c>
      <c r="C453" s="12" t="s">
        <v>17</v>
      </c>
      <c r="D453" s="50">
        <v>90000.0</v>
      </c>
      <c r="E453" s="40">
        <v>126000.0</v>
      </c>
      <c r="F453" s="14">
        <f t="shared" si="19"/>
        <v>108000</v>
      </c>
      <c r="G453" s="40">
        <v>180000.0</v>
      </c>
    </row>
    <row r="454" ht="14.25" hidden="1" customHeight="1">
      <c r="A454" s="12" t="s">
        <v>68</v>
      </c>
      <c r="B454" s="12" t="s">
        <v>538</v>
      </c>
      <c r="C454" s="12" t="s">
        <v>17</v>
      </c>
      <c r="D454" s="50">
        <v>24000.0</v>
      </c>
      <c r="E454" s="40">
        <v>34000.0</v>
      </c>
      <c r="F454" s="40">
        <f t="shared" si="19"/>
        <v>28800</v>
      </c>
      <c r="G454" s="40">
        <v>48000.0</v>
      </c>
    </row>
    <row r="455" ht="14.25" hidden="1" customHeight="1">
      <c r="A455" s="12" t="s">
        <v>68</v>
      </c>
      <c r="B455" s="12" t="s">
        <v>539</v>
      </c>
      <c r="C455" s="12" t="s">
        <v>17</v>
      </c>
      <c r="D455" s="50">
        <v>60000.0</v>
      </c>
      <c r="E455" s="40">
        <v>84000.0</v>
      </c>
      <c r="F455" s="14">
        <f t="shared" si="19"/>
        <v>72000</v>
      </c>
      <c r="G455" s="40">
        <v>120000.0</v>
      </c>
    </row>
    <row r="456" ht="14.25" hidden="1" customHeight="1">
      <c r="A456" s="12" t="s">
        <v>68</v>
      </c>
      <c r="B456" s="12" t="s">
        <v>540</v>
      </c>
      <c r="C456" s="12" t="s">
        <v>17</v>
      </c>
      <c r="D456" s="50">
        <v>33600.0</v>
      </c>
      <c r="E456" s="40">
        <v>47000.0</v>
      </c>
      <c r="F456" s="40">
        <f t="shared" si="19"/>
        <v>40300</v>
      </c>
      <c r="G456" s="40">
        <v>67000.0</v>
      </c>
    </row>
    <row r="457" ht="14.25" hidden="1" customHeight="1">
      <c r="A457" s="12" t="s">
        <v>68</v>
      </c>
      <c r="B457" s="12" t="s">
        <v>541</v>
      </c>
      <c r="C457" s="12" t="s">
        <v>17</v>
      </c>
      <c r="D457" s="50">
        <v>33600.0</v>
      </c>
      <c r="E457" s="40">
        <v>47000.0</v>
      </c>
      <c r="F457" s="40">
        <f t="shared" si="19"/>
        <v>40300</v>
      </c>
      <c r="G457" s="40">
        <v>67000.0</v>
      </c>
    </row>
    <row r="458" ht="14.25" hidden="1" customHeight="1">
      <c r="A458" s="12" t="s">
        <v>68</v>
      </c>
      <c r="B458" s="12" t="s">
        <v>542</v>
      </c>
      <c r="C458" s="12" t="s">
        <v>17</v>
      </c>
      <c r="D458" s="50">
        <v>33600.0</v>
      </c>
      <c r="E458" s="40">
        <v>47000.0</v>
      </c>
      <c r="F458" s="40">
        <f t="shared" si="19"/>
        <v>40300</v>
      </c>
      <c r="G458" s="40">
        <v>67000.0</v>
      </c>
    </row>
    <row r="459" ht="14.25" hidden="1" customHeight="1">
      <c r="A459" s="12" t="s">
        <v>68</v>
      </c>
      <c r="B459" s="12" t="s">
        <v>543</v>
      </c>
      <c r="C459" s="12" t="s">
        <v>17</v>
      </c>
      <c r="D459" s="50">
        <v>24000.0</v>
      </c>
      <c r="E459" s="40">
        <v>34000.0</v>
      </c>
      <c r="F459" s="40">
        <f t="shared" si="19"/>
        <v>28800</v>
      </c>
      <c r="G459" s="40">
        <v>48000.0</v>
      </c>
    </row>
    <row r="460" ht="14.25" hidden="1" customHeight="1">
      <c r="A460" s="12" t="s">
        <v>68</v>
      </c>
      <c r="B460" s="12" t="s">
        <v>544</v>
      </c>
      <c r="C460" s="12" t="s">
        <v>17</v>
      </c>
      <c r="D460" s="50">
        <v>24000.0</v>
      </c>
      <c r="E460" s="40">
        <v>34000.0</v>
      </c>
      <c r="F460" s="40">
        <f t="shared" si="19"/>
        <v>28800</v>
      </c>
      <c r="G460" s="40">
        <v>48000.0</v>
      </c>
    </row>
    <row r="461" ht="14.25" hidden="1" customHeight="1">
      <c r="A461" s="12" t="s">
        <v>68</v>
      </c>
      <c r="B461" s="12" t="s">
        <v>545</v>
      </c>
      <c r="C461" s="12" t="s">
        <v>17</v>
      </c>
      <c r="D461" s="50">
        <v>24000.0</v>
      </c>
      <c r="E461" s="40">
        <v>34000.0</v>
      </c>
      <c r="F461" s="40">
        <f t="shared" si="19"/>
        <v>28800</v>
      </c>
      <c r="G461" s="40">
        <v>48000.0</v>
      </c>
    </row>
    <row r="462" ht="14.25" hidden="1" customHeight="1">
      <c r="A462" s="12" t="s">
        <v>68</v>
      </c>
      <c r="B462" s="12" t="s">
        <v>546</v>
      </c>
      <c r="C462" s="12" t="s">
        <v>17</v>
      </c>
      <c r="D462" s="50">
        <v>24000.0</v>
      </c>
      <c r="E462" s="40">
        <v>34000.0</v>
      </c>
      <c r="F462" s="40">
        <f t="shared" si="19"/>
        <v>28800</v>
      </c>
      <c r="G462" s="40">
        <v>48000.0</v>
      </c>
    </row>
    <row r="463" ht="14.25" hidden="1" customHeight="1">
      <c r="A463" s="12" t="s">
        <v>68</v>
      </c>
      <c r="B463" s="12" t="s">
        <v>547</v>
      </c>
      <c r="C463" s="12" t="s">
        <v>17</v>
      </c>
      <c r="D463" s="50">
        <v>7200.0</v>
      </c>
      <c r="E463" s="40">
        <v>10000.0</v>
      </c>
      <c r="F463" s="40">
        <f t="shared" si="19"/>
        <v>8600</v>
      </c>
      <c r="G463" s="40">
        <v>14000.0</v>
      </c>
    </row>
    <row r="464" ht="14.25" hidden="1" customHeight="1">
      <c r="A464" s="12" t="s">
        <v>68</v>
      </c>
      <c r="B464" s="12" t="s">
        <v>548</v>
      </c>
      <c r="C464" s="12" t="s">
        <v>549</v>
      </c>
      <c r="D464" s="50">
        <v>10800.0</v>
      </c>
      <c r="E464" s="40">
        <v>15000.0</v>
      </c>
      <c r="F464" s="40">
        <f t="shared" si="19"/>
        <v>13000</v>
      </c>
      <c r="G464" s="40">
        <v>22000.0</v>
      </c>
    </row>
    <row r="465" ht="14.25" hidden="1" customHeight="1">
      <c r="A465" s="12" t="s">
        <v>71</v>
      </c>
      <c r="B465" s="12" t="s">
        <v>550</v>
      </c>
      <c r="C465" s="12" t="s">
        <v>17</v>
      </c>
      <c r="D465" s="40">
        <v>16800.0</v>
      </c>
      <c r="E465" s="40">
        <v>25000.0</v>
      </c>
      <c r="F465" s="40">
        <f t="shared" si="19"/>
        <v>20200</v>
      </c>
      <c r="G465" s="40">
        <v>32000.0</v>
      </c>
    </row>
    <row r="466" ht="14.25" hidden="1" customHeight="1">
      <c r="A466" s="12" t="s">
        <v>71</v>
      </c>
      <c r="B466" s="12" t="s">
        <v>551</v>
      </c>
      <c r="C466" s="12" t="s">
        <v>17</v>
      </c>
      <c r="D466" s="40">
        <v>16800.0</v>
      </c>
      <c r="E466" s="40">
        <v>25000.0</v>
      </c>
      <c r="F466" s="40">
        <f t="shared" si="19"/>
        <v>20200</v>
      </c>
      <c r="G466" s="40">
        <v>32000.0</v>
      </c>
    </row>
    <row r="467" ht="14.25" hidden="1" customHeight="1">
      <c r="A467" s="12" t="s">
        <v>71</v>
      </c>
      <c r="B467" s="12" t="s">
        <v>552</v>
      </c>
      <c r="C467" s="12" t="s">
        <v>17</v>
      </c>
      <c r="D467" s="40">
        <v>3000.0</v>
      </c>
      <c r="E467" s="40">
        <v>5000.0</v>
      </c>
      <c r="F467" s="40">
        <f t="shared" si="19"/>
        <v>3600</v>
      </c>
      <c r="G467" s="40">
        <v>6000.0</v>
      </c>
    </row>
    <row r="468" ht="14.25" hidden="1" customHeight="1">
      <c r="A468" s="12" t="s">
        <v>71</v>
      </c>
      <c r="B468" s="48" t="s">
        <v>553</v>
      </c>
      <c r="C468" s="12"/>
      <c r="D468" s="40">
        <v>3000.0</v>
      </c>
      <c r="E468" s="40">
        <v>5000.0</v>
      </c>
      <c r="F468" s="40">
        <f t="shared" si="19"/>
        <v>3600</v>
      </c>
      <c r="G468" s="40">
        <v>6000.0</v>
      </c>
    </row>
    <row r="469" ht="14.25" hidden="1" customHeight="1">
      <c r="A469" s="12" t="s">
        <v>75</v>
      </c>
      <c r="B469" s="12" t="s">
        <v>554</v>
      </c>
      <c r="C469" s="12" t="s">
        <v>555</v>
      </c>
      <c r="D469" s="58">
        <v>21000.0</v>
      </c>
      <c r="E469" s="55">
        <v>28000.0</v>
      </c>
      <c r="F469" s="55">
        <v>21000.0</v>
      </c>
      <c r="G469" s="55">
        <v>35000.0</v>
      </c>
    </row>
    <row r="470" ht="14.25" hidden="1" customHeight="1">
      <c r="A470" s="12" t="s">
        <v>75</v>
      </c>
      <c r="B470" s="12" t="s">
        <v>556</v>
      </c>
      <c r="C470" s="12" t="s">
        <v>555</v>
      </c>
      <c r="D470" s="58">
        <v>16500.0</v>
      </c>
      <c r="E470" s="55">
        <v>26000.0</v>
      </c>
      <c r="F470" s="55">
        <v>16500.0</v>
      </c>
      <c r="G470" s="55">
        <v>30000.0</v>
      </c>
    </row>
    <row r="471" ht="14.25" hidden="1" customHeight="1">
      <c r="A471" s="12" t="s">
        <v>75</v>
      </c>
      <c r="B471" s="12" t="s">
        <v>557</v>
      </c>
      <c r="C471" s="12" t="s">
        <v>555</v>
      </c>
      <c r="D471" s="58">
        <v>10500.0</v>
      </c>
      <c r="E471" s="55">
        <v>15000.0</v>
      </c>
      <c r="F471" s="55">
        <v>10500.0</v>
      </c>
      <c r="G471" s="55">
        <v>18000.0</v>
      </c>
    </row>
    <row r="472" ht="14.25" hidden="1" customHeight="1">
      <c r="A472" s="12" t="s">
        <v>75</v>
      </c>
      <c r="B472" s="12" t="s">
        <v>558</v>
      </c>
      <c r="C472" s="12" t="s">
        <v>555</v>
      </c>
      <c r="D472" s="58">
        <v>11000.0</v>
      </c>
      <c r="E472" s="55">
        <v>16000.0</v>
      </c>
      <c r="F472" s="55">
        <v>11000.0</v>
      </c>
      <c r="G472" s="55">
        <v>20000.0</v>
      </c>
    </row>
    <row r="473" ht="14.25" hidden="1" customHeight="1">
      <c r="A473" s="12" t="s">
        <v>75</v>
      </c>
      <c r="B473" s="12" t="s">
        <v>559</v>
      </c>
      <c r="C473" s="12" t="s">
        <v>555</v>
      </c>
      <c r="D473" s="58">
        <v>23000.0</v>
      </c>
      <c r="E473" s="55">
        <v>35000.0</v>
      </c>
      <c r="F473" s="55">
        <v>23000.0</v>
      </c>
      <c r="G473" s="55">
        <v>45000.0</v>
      </c>
    </row>
    <row r="474" ht="14.25" hidden="1" customHeight="1">
      <c r="A474" s="12" t="s">
        <v>78</v>
      </c>
      <c r="B474" s="12" t="s">
        <v>560</v>
      </c>
      <c r="C474" s="12" t="s">
        <v>100</v>
      </c>
      <c r="D474" s="40">
        <v>41400.0</v>
      </c>
      <c r="E474" s="40">
        <v>50000.0</v>
      </c>
      <c r="F474" s="40">
        <f>ROUND(D474+(D474*0.15),-2)</f>
        <v>47600</v>
      </c>
      <c r="G474" s="57">
        <v>65000.0</v>
      </c>
    </row>
    <row r="475" ht="14.25" customHeight="1">
      <c r="D475" s="44"/>
      <c r="E475" s="43"/>
      <c r="F475" s="43"/>
      <c r="G475" s="43"/>
    </row>
    <row r="476" ht="14.25" customHeight="1">
      <c r="D476" s="44"/>
      <c r="E476" s="43"/>
      <c r="F476" s="43"/>
      <c r="G476" s="43"/>
    </row>
    <row r="477" ht="14.25" customHeight="1">
      <c r="D477" s="44"/>
      <c r="E477" s="43"/>
      <c r="F477" s="43"/>
      <c r="G477" s="43"/>
    </row>
    <row r="478" ht="14.25" customHeight="1">
      <c r="D478" s="44"/>
      <c r="E478" s="43"/>
      <c r="F478" s="43"/>
      <c r="G478" s="43"/>
    </row>
    <row r="479" ht="14.25" customHeight="1">
      <c r="D479" s="44"/>
      <c r="E479" s="43"/>
      <c r="F479" s="43"/>
      <c r="G479" s="43"/>
    </row>
    <row r="480" ht="14.25" customHeight="1">
      <c r="D480" s="44"/>
      <c r="E480" s="43"/>
      <c r="F480" s="43"/>
      <c r="G480" s="43"/>
    </row>
    <row r="481" ht="14.25" customHeight="1">
      <c r="D481" s="44"/>
      <c r="E481" s="43"/>
      <c r="F481" s="43"/>
      <c r="G481" s="43"/>
    </row>
    <row r="482" ht="14.25" customHeight="1">
      <c r="D482" s="44"/>
      <c r="E482" s="43"/>
      <c r="F482" s="43"/>
      <c r="G482" s="43"/>
    </row>
    <row r="483" ht="14.25" customHeight="1">
      <c r="D483" s="44"/>
      <c r="E483" s="43"/>
      <c r="F483" s="43"/>
      <c r="G483" s="43"/>
    </row>
    <row r="484" ht="14.25" customHeight="1">
      <c r="D484" s="44"/>
      <c r="E484" s="43"/>
      <c r="F484" s="43"/>
      <c r="G484" s="43"/>
    </row>
    <row r="485" ht="14.25" customHeight="1">
      <c r="D485" s="44"/>
      <c r="E485" s="43"/>
      <c r="F485" s="43"/>
      <c r="G485" s="43"/>
    </row>
    <row r="486" ht="14.25" customHeight="1">
      <c r="D486" s="44"/>
      <c r="E486" s="43"/>
      <c r="F486" s="43"/>
      <c r="G486" s="43"/>
    </row>
    <row r="487" ht="14.25" customHeight="1">
      <c r="D487" s="44"/>
      <c r="E487" s="43"/>
      <c r="F487" s="43"/>
      <c r="G487" s="43"/>
    </row>
    <row r="488" ht="14.25" customHeight="1">
      <c r="D488" s="44"/>
      <c r="E488" s="43"/>
      <c r="F488" s="43"/>
      <c r="G488" s="43"/>
    </row>
    <row r="489" ht="14.25" customHeight="1">
      <c r="D489" s="44"/>
      <c r="E489" s="43"/>
      <c r="F489" s="43"/>
      <c r="G489" s="43"/>
    </row>
    <row r="490" ht="14.25" customHeight="1">
      <c r="D490" s="44"/>
      <c r="E490" s="43"/>
      <c r="F490" s="43"/>
      <c r="G490" s="43"/>
    </row>
    <row r="491" ht="14.25" customHeight="1">
      <c r="D491" s="44"/>
      <c r="E491" s="43"/>
      <c r="F491" s="43"/>
      <c r="G491" s="43"/>
    </row>
    <row r="492" ht="14.25" customHeight="1">
      <c r="D492" s="44"/>
      <c r="E492" s="43"/>
      <c r="F492" s="43"/>
      <c r="G492" s="43"/>
    </row>
    <row r="493" ht="14.25" customHeight="1">
      <c r="D493" s="44"/>
      <c r="E493" s="43"/>
      <c r="F493" s="43"/>
      <c r="G493" s="43"/>
    </row>
    <row r="494" ht="14.25" customHeight="1">
      <c r="D494" s="44"/>
      <c r="E494" s="43"/>
      <c r="F494" s="43"/>
      <c r="G494" s="43"/>
    </row>
    <row r="495" ht="14.25" customHeight="1">
      <c r="D495" s="44"/>
      <c r="E495" s="43"/>
      <c r="F495" s="43"/>
      <c r="G495" s="43"/>
    </row>
    <row r="496" ht="14.25" customHeight="1">
      <c r="D496" s="44"/>
      <c r="E496" s="43"/>
      <c r="F496" s="43"/>
      <c r="G496" s="43"/>
    </row>
    <row r="497" ht="14.25" customHeight="1">
      <c r="D497" s="44"/>
      <c r="E497" s="43"/>
      <c r="F497" s="43"/>
      <c r="G497" s="43"/>
    </row>
    <row r="498" ht="14.25" customHeight="1">
      <c r="D498" s="44"/>
      <c r="E498" s="43"/>
      <c r="F498" s="43"/>
      <c r="G498" s="43"/>
    </row>
    <row r="499" ht="14.25" customHeight="1">
      <c r="D499" s="44"/>
      <c r="E499" s="43"/>
      <c r="F499" s="43"/>
      <c r="G499" s="43"/>
    </row>
    <row r="500" ht="14.25" customHeight="1">
      <c r="D500" s="44"/>
      <c r="E500" s="43"/>
      <c r="F500" s="43"/>
      <c r="G500" s="43"/>
    </row>
    <row r="501" ht="14.25" customHeight="1">
      <c r="D501" s="44"/>
      <c r="E501" s="43"/>
      <c r="F501" s="43"/>
      <c r="G501" s="43"/>
    </row>
    <row r="502" ht="14.25" customHeight="1">
      <c r="D502" s="44"/>
      <c r="E502" s="43"/>
      <c r="F502" s="43"/>
      <c r="G502" s="43"/>
    </row>
    <row r="503" ht="14.25" customHeight="1">
      <c r="D503" s="44"/>
      <c r="E503" s="43"/>
      <c r="F503" s="43"/>
      <c r="G503" s="43"/>
    </row>
    <row r="504" ht="14.25" customHeight="1">
      <c r="D504" s="44"/>
      <c r="E504" s="43"/>
      <c r="F504" s="43"/>
      <c r="G504" s="43"/>
    </row>
    <row r="505" ht="14.25" customHeight="1">
      <c r="D505" s="44"/>
      <c r="E505" s="43"/>
      <c r="F505" s="43"/>
      <c r="G505" s="43"/>
    </row>
    <row r="506" ht="14.25" customHeight="1">
      <c r="D506" s="44"/>
      <c r="E506" s="43"/>
      <c r="F506" s="43"/>
      <c r="G506" s="43"/>
    </row>
    <row r="507" ht="14.25" customHeight="1">
      <c r="D507" s="44"/>
      <c r="E507" s="43"/>
      <c r="F507" s="43"/>
      <c r="G507" s="43"/>
    </row>
    <row r="508" ht="14.25" customHeight="1">
      <c r="D508" s="44"/>
      <c r="E508" s="43"/>
      <c r="F508" s="43"/>
      <c r="G508" s="43"/>
    </row>
    <row r="509" ht="14.25" customHeight="1">
      <c r="D509" s="44"/>
      <c r="E509" s="43"/>
      <c r="F509" s="43"/>
      <c r="G509" s="43"/>
    </row>
    <row r="510" ht="14.25" customHeight="1">
      <c r="D510" s="44"/>
      <c r="E510" s="43"/>
      <c r="F510" s="43"/>
      <c r="G510" s="43"/>
    </row>
    <row r="511" ht="14.25" customHeight="1">
      <c r="D511" s="44"/>
      <c r="E511" s="43"/>
      <c r="F511" s="43"/>
      <c r="G511" s="43"/>
    </row>
    <row r="512" ht="14.25" customHeight="1">
      <c r="D512" s="44"/>
      <c r="E512" s="43"/>
      <c r="F512" s="43"/>
      <c r="G512" s="43"/>
    </row>
    <row r="513" ht="14.25" customHeight="1">
      <c r="D513" s="44"/>
      <c r="E513" s="43"/>
      <c r="F513" s="43"/>
      <c r="G513" s="43"/>
    </row>
    <row r="514" ht="14.25" customHeight="1">
      <c r="D514" s="44"/>
      <c r="E514" s="43"/>
      <c r="F514" s="43"/>
      <c r="G514" s="43"/>
    </row>
    <row r="515" ht="14.25" customHeight="1">
      <c r="D515" s="44"/>
      <c r="E515" s="43"/>
      <c r="F515" s="43"/>
      <c r="G515" s="43"/>
    </row>
    <row r="516" ht="14.25" customHeight="1">
      <c r="D516" s="44"/>
      <c r="E516" s="43"/>
      <c r="F516" s="43"/>
      <c r="G516" s="43"/>
    </row>
    <row r="517" ht="14.25" customHeight="1">
      <c r="D517" s="44"/>
      <c r="E517" s="43"/>
      <c r="F517" s="43"/>
      <c r="G517" s="43"/>
    </row>
    <row r="518" ht="14.25" customHeight="1">
      <c r="D518" s="44"/>
      <c r="E518" s="43"/>
      <c r="F518" s="43"/>
      <c r="G518" s="43"/>
    </row>
    <row r="519" ht="14.25" customHeight="1">
      <c r="D519" s="44"/>
      <c r="E519" s="43"/>
      <c r="F519" s="43"/>
      <c r="G519" s="43"/>
    </row>
    <row r="520" ht="14.25" customHeight="1">
      <c r="D520" s="44"/>
      <c r="E520" s="43"/>
      <c r="F520" s="43"/>
      <c r="G520" s="43"/>
    </row>
    <row r="521" ht="14.25" customHeight="1">
      <c r="D521" s="44"/>
      <c r="E521" s="43"/>
      <c r="F521" s="43"/>
      <c r="G521" s="43"/>
    </row>
    <row r="522" ht="14.25" customHeight="1">
      <c r="D522" s="44"/>
      <c r="E522" s="43"/>
      <c r="F522" s="43"/>
      <c r="G522" s="43"/>
    </row>
    <row r="523" ht="14.25" customHeight="1">
      <c r="D523" s="44"/>
      <c r="E523" s="43"/>
      <c r="F523" s="43"/>
      <c r="G523" s="43"/>
    </row>
    <row r="524" ht="14.25" customHeight="1">
      <c r="D524" s="44"/>
      <c r="E524" s="43"/>
      <c r="F524" s="43"/>
      <c r="G524" s="43"/>
    </row>
    <row r="525" ht="14.25" customHeight="1">
      <c r="D525" s="44"/>
      <c r="E525" s="43"/>
      <c r="F525" s="43"/>
      <c r="G525" s="43"/>
    </row>
    <row r="526" ht="14.25" customHeight="1">
      <c r="D526" s="44"/>
      <c r="E526" s="43"/>
      <c r="F526" s="43"/>
      <c r="G526" s="43"/>
    </row>
    <row r="527" ht="14.25" customHeight="1">
      <c r="D527" s="44"/>
      <c r="E527" s="43"/>
      <c r="F527" s="43"/>
      <c r="G527" s="43"/>
    </row>
    <row r="528" ht="14.25" customHeight="1">
      <c r="D528" s="44"/>
      <c r="E528" s="43"/>
      <c r="F528" s="43"/>
      <c r="G528" s="43"/>
    </row>
    <row r="529" ht="14.25" customHeight="1">
      <c r="D529" s="44"/>
      <c r="E529" s="43"/>
      <c r="F529" s="43"/>
      <c r="G529" s="43"/>
    </row>
    <row r="530" ht="14.25" customHeight="1">
      <c r="D530" s="44"/>
      <c r="E530" s="43"/>
      <c r="F530" s="43"/>
      <c r="G530" s="43"/>
    </row>
    <row r="531" ht="14.25" customHeight="1">
      <c r="D531" s="44"/>
      <c r="E531" s="43"/>
      <c r="F531" s="43"/>
      <c r="G531" s="43"/>
    </row>
    <row r="532" ht="14.25" customHeight="1">
      <c r="D532" s="44"/>
      <c r="E532" s="43"/>
      <c r="F532" s="43"/>
      <c r="G532" s="43"/>
    </row>
    <row r="533" ht="14.25" customHeight="1">
      <c r="D533" s="44"/>
      <c r="E533" s="43"/>
      <c r="F533" s="43"/>
      <c r="G533" s="43"/>
    </row>
    <row r="534" ht="14.25" customHeight="1">
      <c r="D534" s="44"/>
      <c r="E534" s="43"/>
      <c r="F534" s="43"/>
      <c r="G534" s="43"/>
    </row>
    <row r="535" ht="14.25" customHeight="1">
      <c r="D535" s="44"/>
      <c r="E535" s="43"/>
      <c r="F535" s="43"/>
      <c r="G535" s="43"/>
    </row>
    <row r="536" ht="14.25" customHeight="1">
      <c r="D536" s="44"/>
      <c r="E536" s="43"/>
      <c r="F536" s="43"/>
      <c r="G536" s="43"/>
    </row>
    <row r="537" ht="14.25" customHeight="1">
      <c r="D537" s="44"/>
      <c r="E537" s="43"/>
      <c r="F537" s="43"/>
      <c r="G537" s="43"/>
    </row>
    <row r="538" ht="14.25" customHeight="1">
      <c r="D538" s="44"/>
      <c r="E538" s="43"/>
      <c r="F538" s="43"/>
      <c r="G538" s="43"/>
    </row>
    <row r="539" ht="14.25" customHeight="1">
      <c r="D539" s="44"/>
      <c r="E539" s="43"/>
      <c r="F539" s="43"/>
      <c r="G539" s="43"/>
    </row>
    <row r="540" ht="14.25" customHeight="1">
      <c r="D540" s="44"/>
      <c r="E540" s="43"/>
      <c r="F540" s="43"/>
      <c r="G540" s="43"/>
    </row>
    <row r="541" ht="14.25" customHeight="1">
      <c r="D541" s="44"/>
      <c r="E541" s="43"/>
      <c r="F541" s="43"/>
      <c r="G541" s="43"/>
    </row>
    <row r="542" ht="14.25" customHeight="1">
      <c r="D542" s="44"/>
      <c r="E542" s="43"/>
      <c r="F542" s="43"/>
      <c r="G542" s="43"/>
    </row>
    <row r="543" ht="14.25" customHeight="1">
      <c r="D543" s="44"/>
      <c r="E543" s="43"/>
      <c r="F543" s="43"/>
      <c r="G543" s="43"/>
    </row>
    <row r="544" ht="14.25" customHeight="1">
      <c r="D544" s="44"/>
      <c r="E544" s="43"/>
      <c r="F544" s="43"/>
      <c r="G544" s="43"/>
    </row>
    <row r="545" ht="14.25" customHeight="1">
      <c r="D545" s="44"/>
      <c r="E545" s="43"/>
      <c r="F545" s="43"/>
      <c r="G545" s="43"/>
    </row>
    <row r="546" ht="14.25" customHeight="1">
      <c r="D546" s="44"/>
      <c r="E546" s="43"/>
      <c r="F546" s="43"/>
      <c r="G546" s="43"/>
    </row>
    <row r="547" ht="14.25" customHeight="1">
      <c r="D547" s="44"/>
      <c r="E547" s="43"/>
      <c r="F547" s="43"/>
      <c r="G547" s="43"/>
    </row>
    <row r="548" ht="14.25" customHeight="1">
      <c r="D548" s="44"/>
      <c r="E548" s="43"/>
      <c r="F548" s="43"/>
      <c r="G548" s="43"/>
    </row>
    <row r="549" ht="14.25" customHeight="1">
      <c r="D549" s="44"/>
      <c r="E549" s="43"/>
      <c r="F549" s="43"/>
      <c r="G549" s="43"/>
    </row>
    <row r="550" ht="14.25" customHeight="1">
      <c r="D550" s="44"/>
      <c r="E550" s="43"/>
      <c r="F550" s="43"/>
      <c r="G550" s="43"/>
    </row>
    <row r="551" ht="14.25" customHeight="1">
      <c r="D551" s="44"/>
      <c r="E551" s="43"/>
      <c r="F551" s="43"/>
      <c r="G551" s="43"/>
    </row>
    <row r="552" ht="14.25" customHeight="1">
      <c r="D552" s="44"/>
      <c r="E552" s="43"/>
      <c r="F552" s="43"/>
      <c r="G552" s="43"/>
    </row>
    <row r="553" ht="14.25" customHeight="1">
      <c r="D553" s="44"/>
      <c r="E553" s="43"/>
      <c r="F553" s="43"/>
      <c r="G553" s="43"/>
    </row>
    <row r="554" ht="14.25" customHeight="1">
      <c r="D554" s="44"/>
      <c r="E554" s="43"/>
      <c r="F554" s="43"/>
      <c r="G554" s="43"/>
    </row>
    <row r="555" ht="14.25" customHeight="1">
      <c r="D555" s="44"/>
      <c r="E555" s="43"/>
      <c r="F555" s="43"/>
      <c r="G555" s="43"/>
    </row>
    <row r="556" ht="14.25" customHeight="1">
      <c r="D556" s="44"/>
      <c r="E556" s="43"/>
      <c r="F556" s="43"/>
      <c r="G556" s="43"/>
    </row>
    <row r="557" ht="14.25" customHeight="1">
      <c r="D557" s="44"/>
      <c r="E557" s="43"/>
      <c r="F557" s="43"/>
      <c r="G557" s="43"/>
    </row>
    <row r="558" ht="14.25" customHeight="1">
      <c r="D558" s="44"/>
      <c r="E558" s="43"/>
      <c r="F558" s="43"/>
      <c r="G558" s="43"/>
    </row>
    <row r="559" ht="14.25" customHeight="1">
      <c r="D559" s="44"/>
      <c r="E559" s="43"/>
      <c r="F559" s="43"/>
      <c r="G559" s="43"/>
    </row>
    <row r="560" ht="14.25" customHeight="1">
      <c r="D560" s="44"/>
      <c r="E560" s="43"/>
      <c r="F560" s="43"/>
      <c r="G560" s="43"/>
    </row>
    <row r="561" ht="14.25" customHeight="1">
      <c r="D561" s="44"/>
      <c r="E561" s="43"/>
      <c r="F561" s="43"/>
      <c r="G561" s="43"/>
    </row>
    <row r="562" ht="14.25" customHeight="1">
      <c r="D562" s="44"/>
      <c r="E562" s="43"/>
      <c r="F562" s="43"/>
      <c r="G562" s="43"/>
    </row>
    <row r="563" ht="14.25" customHeight="1">
      <c r="D563" s="44"/>
      <c r="E563" s="43"/>
      <c r="F563" s="43"/>
      <c r="G563" s="43"/>
    </row>
    <row r="564" ht="14.25" customHeight="1">
      <c r="D564" s="44"/>
      <c r="E564" s="43"/>
      <c r="F564" s="43"/>
      <c r="G564" s="43"/>
    </row>
    <row r="565" ht="14.25" customHeight="1">
      <c r="D565" s="44"/>
      <c r="E565" s="43"/>
      <c r="F565" s="43"/>
      <c r="G565" s="43"/>
    </row>
    <row r="566" ht="14.25" customHeight="1">
      <c r="D566" s="44"/>
      <c r="E566" s="43"/>
      <c r="F566" s="43"/>
      <c r="G566" s="43"/>
    </row>
    <row r="567" ht="14.25" customHeight="1">
      <c r="D567" s="44"/>
      <c r="E567" s="43"/>
      <c r="F567" s="43"/>
      <c r="G567" s="43"/>
    </row>
    <row r="568" ht="14.25" customHeight="1">
      <c r="D568" s="44"/>
      <c r="E568" s="43"/>
      <c r="F568" s="43"/>
      <c r="G568" s="43"/>
    </row>
    <row r="569" ht="14.25" customHeight="1">
      <c r="D569" s="44"/>
      <c r="E569" s="43"/>
      <c r="F569" s="43"/>
      <c r="G569" s="43"/>
    </row>
    <row r="570" ht="14.25" customHeight="1">
      <c r="D570" s="44"/>
      <c r="E570" s="43"/>
      <c r="F570" s="43"/>
      <c r="G570" s="43"/>
    </row>
    <row r="571" ht="14.25" customHeight="1">
      <c r="D571" s="44"/>
      <c r="E571" s="43"/>
      <c r="F571" s="43"/>
      <c r="G571" s="43"/>
    </row>
    <row r="572" ht="14.25" customHeight="1">
      <c r="D572" s="44"/>
      <c r="E572" s="43"/>
      <c r="F572" s="43"/>
      <c r="G572" s="43"/>
    </row>
    <row r="573" ht="14.25" customHeight="1">
      <c r="D573" s="44"/>
      <c r="E573" s="43"/>
      <c r="F573" s="43"/>
      <c r="G573" s="43"/>
    </row>
    <row r="574" ht="14.25" customHeight="1">
      <c r="D574" s="44"/>
      <c r="E574" s="43"/>
      <c r="F574" s="43"/>
      <c r="G574" s="43"/>
    </row>
    <row r="575" ht="14.25" customHeight="1">
      <c r="D575" s="44"/>
      <c r="E575" s="43"/>
      <c r="F575" s="43"/>
      <c r="G575" s="43"/>
    </row>
    <row r="576" ht="14.25" customHeight="1">
      <c r="D576" s="44"/>
      <c r="E576" s="43"/>
      <c r="F576" s="43"/>
      <c r="G576" s="43"/>
    </row>
    <row r="577" ht="14.25" customHeight="1">
      <c r="D577" s="44"/>
      <c r="E577" s="43"/>
      <c r="F577" s="43"/>
      <c r="G577" s="43"/>
    </row>
    <row r="578" ht="14.25" customHeight="1">
      <c r="D578" s="44"/>
      <c r="E578" s="43"/>
      <c r="F578" s="43"/>
      <c r="G578" s="43"/>
    </row>
    <row r="579" ht="14.25" customHeight="1">
      <c r="D579" s="44"/>
      <c r="E579" s="43"/>
      <c r="F579" s="43"/>
      <c r="G579" s="43"/>
    </row>
    <row r="580" ht="14.25" customHeight="1">
      <c r="D580" s="44"/>
      <c r="E580" s="43"/>
      <c r="F580" s="43"/>
      <c r="G580" s="43"/>
    </row>
    <row r="581" ht="14.25" customHeight="1">
      <c r="D581" s="44"/>
      <c r="E581" s="43"/>
      <c r="F581" s="43"/>
      <c r="G581" s="43"/>
    </row>
    <row r="582" ht="14.25" customHeight="1">
      <c r="D582" s="44"/>
      <c r="E582" s="43"/>
      <c r="F582" s="43"/>
      <c r="G582" s="43"/>
    </row>
    <row r="583" ht="14.25" customHeight="1">
      <c r="D583" s="44"/>
      <c r="E583" s="43"/>
      <c r="F583" s="43"/>
      <c r="G583" s="43"/>
    </row>
    <row r="584" ht="14.25" customHeight="1">
      <c r="D584" s="44"/>
      <c r="E584" s="43"/>
      <c r="F584" s="43"/>
      <c r="G584" s="43"/>
    </row>
    <row r="585" ht="14.25" customHeight="1">
      <c r="D585" s="44"/>
      <c r="E585" s="43"/>
      <c r="F585" s="43"/>
      <c r="G585" s="43"/>
    </row>
    <row r="586" ht="14.25" customHeight="1">
      <c r="D586" s="44"/>
      <c r="E586" s="43"/>
      <c r="F586" s="43"/>
      <c r="G586" s="43"/>
    </row>
    <row r="587" ht="14.25" customHeight="1">
      <c r="D587" s="44"/>
      <c r="E587" s="43"/>
      <c r="F587" s="43"/>
      <c r="G587" s="43"/>
    </row>
    <row r="588" ht="14.25" customHeight="1">
      <c r="D588" s="44"/>
      <c r="E588" s="43"/>
      <c r="F588" s="43"/>
      <c r="G588" s="43"/>
    </row>
    <row r="589" ht="14.25" customHeight="1">
      <c r="D589" s="44"/>
      <c r="E589" s="43"/>
      <c r="F589" s="43"/>
      <c r="G589" s="43"/>
    </row>
    <row r="590" ht="14.25" customHeight="1">
      <c r="D590" s="44"/>
      <c r="E590" s="43"/>
      <c r="F590" s="43"/>
      <c r="G590" s="43"/>
    </row>
    <row r="591" ht="14.25" customHeight="1">
      <c r="D591" s="44"/>
      <c r="E591" s="43"/>
      <c r="F591" s="43"/>
      <c r="G591" s="43"/>
    </row>
    <row r="592" ht="14.25" customHeight="1">
      <c r="D592" s="44"/>
      <c r="E592" s="43"/>
      <c r="F592" s="43"/>
      <c r="G592" s="43"/>
    </row>
    <row r="593" ht="14.25" customHeight="1">
      <c r="D593" s="44"/>
      <c r="E593" s="43"/>
      <c r="F593" s="43"/>
      <c r="G593" s="43"/>
    </row>
    <row r="594" ht="14.25" customHeight="1">
      <c r="D594" s="44"/>
      <c r="E594" s="43"/>
      <c r="F594" s="43"/>
      <c r="G594" s="43"/>
    </row>
    <row r="595" ht="14.25" customHeight="1">
      <c r="D595" s="44"/>
      <c r="E595" s="43"/>
      <c r="F595" s="43"/>
      <c r="G595" s="43"/>
    </row>
    <row r="596" ht="14.25" customHeight="1">
      <c r="D596" s="44"/>
      <c r="E596" s="43"/>
      <c r="F596" s="43"/>
      <c r="G596" s="43"/>
    </row>
    <row r="597" ht="14.25" customHeight="1">
      <c r="D597" s="44"/>
      <c r="E597" s="43"/>
      <c r="F597" s="43"/>
      <c r="G597" s="43"/>
    </row>
    <row r="598" ht="14.25" customHeight="1">
      <c r="D598" s="44"/>
      <c r="E598" s="43"/>
      <c r="F598" s="43"/>
      <c r="G598" s="43"/>
    </row>
    <row r="599" ht="14.25" customHeight="1">
      <c r="D599" s="44"/>
      <c r="E599" s="43"/>
      <c r="F599" s="43"/>
      <c r="G599" s="43"/>
    </row>
    <row r="600" ht="14.25" customHeight="1">
      <c r="D600" s="44"/>
      <c r="E600" s="43"/>
      <c r="F600" s="43"/>
      <c r="G600" s="43"/>
    </row>
    <row r="601" ht="14.25" customHeight="1">
      <c r="D601" s="44"/>
      <c r="E601" s="43"/>
      <c r="F601" s="43"/>
      <c r="G601" s="43"/>
    </row>
    <row r="602" ht="14.25" customHeight="1">
      <c r="D602" s="44"/>
      <c r="E602" s="43"/>
      <c r="F602" s="43"/>
      <c r="G602" s="43"/>
    </row>
    <row r="603" ht="14.25" customHeight="1">
      <c r="D603" s="44"/>
      <c r="E603" s="43"/>
      <c r="F603" s="43"/>
      <c r="G603" s="43"/>
    </row>
    <row r="604" ht="14.25" customHeight="1">
      <c r="D604" s="44"/>
      <c r="E604" s="43"/>
      <c r="F604" s="43"/>
      <c r="G604" s="43"/>
    </row>
    <row r="605" ht="14.25" customHeight="1">
      <c r="D605" s="44"/>
      <c r="E605" s="43"/>
      <c r="F605" s="43"/>
      <c r="G605" s="43"/>
    </row>
    <row r="606" ht="14.25" customHeight="1">
      <c r="D606" s="44"/>
      <c r="E606" s="43"/>
      <c r="F606" s="43"/>
      <c r="G606" s="43"/>
    </row>
    <row r="607" ht="14.25" customHeight="1">
      <c r="D607" s="44"/>
      <c r="E607" s="43"/>
      <c r="F607" s="43"/>
      <c r="G607" s="43"/>
    </row>
    <row r="608" ht="14.25" customHeight="1">
      <c r="D608" s="44"/>
      <c r="E608" s="43"/>
      <c r="F608" s="43"/>
      <c r="G608" s="43"/>
    </row>
    <row r="609" ht="14.25" customHeight="1">
      <c r="D609" s="44"/>
      <c r="E609" s="43"/>
      <c r="F609" s="43"/>
      <c r="G609" s="43"/>
    </row>
    <row r="610" ht="14.25" customHeight="1">
      <c r="D610" s="44"/>
      <c r="E610" s="43"/>
      <c r="F610" s="43"/>
      <c r="G610" s="43"/>
    </row>
    <row r="611" ht="14.25" customHeight="1">
      <c r="D611" s="44"/>
      <c r="E611" s="43"/>
      <c r="F611" s="43"/>
      <c r="G611" s="43"/>
    </row>
    <row r="612" ht="14.25" customHeight="1">
      <c r="D612" s="44"/>
      <c r="E612" s="43"/>
      <c r="F612" s="43"/>
      <c r="G612" s="43"/>
    </row>
    <row r="613" ht="14.25" customHeight="1">
      <c r="D613" s="44"/>
      <c r="E613" s="43"/>
      <c r="F613" s="43"/>
      <c r="G613" s="43"/>
    </row>
    <row r="614" ht="14.25" customHeight="1">
      <c r="D614" s="44"/>
      <c r="E614" s="43"/>
      <c r="F614" s="43"/>
      <c r="G614" s="43"/>
    </row>
    <row r="615" ht="14.25" customHeight="1">
      <c r="D615" s="44"/>
      <c r="E615" s="43"/>
      <c r="F615" s="43"/>
      <c r="G615" s="43"/>
    </row>
    <row r="616" ht="14.25" customHeight="1">
      <c r="D616" s="44"/>
      <c r="E616" s="43"/>
      <c r="F616" s="43"/>
      <c r="G616" s="43"/>
    </row>
    <row r="617" ht="14.25" customHeight="1">
      <c r="D617" s="44"/>
      <c r="E617" s="43"/>
      <c r="F617" s="43"/>
      <c r="G617" s="43"/>
    </row>
    <row r="618" ht="14.25" customHeight="1">
      <c r="D618" s="44"/>
      <c r="E618" s="43"/>
      <c r="F618" s="43"/>
      <c r="G618" s="43"/>
    </row>
    <row r="619" ht="14.25" customHeight="1">
      <c r="D619" s="44"/>
      <c r="E619" s="43"/>
      <c r="F619" s="43"/>
      <c r="G619" s="43"/>
    </row>
    <row r="620" ht="14.25" customHeight="1">
      <c r="D620" s="44"/>
      <c r="E620" s="43"/>
      <c r="F620" s="43"/>
      <c r="G620" s="43"/>
    </row>
    <row r="621" ht="14.25" customHeight="1">
      <c r="D621" s="44"/>
      <c r="E621" s="43"/>
      <c r="F621" s="43"/>
      <c r="G621" s="43"/>
    </row>
    <row r="622" ht="14.25" customHeight="1">
      <c r="D622" s="44"/>
      <c r="E622" s="43"/>
      <c r="F622" s="43"/>
      <c r="G622" s="43"/>
    </row>
    <row r="623" ht="14.25" customHeight="1">
      <c r="D623" s="44"/>
      <c r="E623" s="43"/>
      <c r="F623" s="43"/>
      <c r="G623" s="43"/>
    </row>
    <row r="624" ht="14.25" customHeight="1">
      <c r="D624" s="44"/>
      <c r="E624" s="43"/>
      <c r="F624" s="43"/>
      <c r="G624" s="43"/>
    </row>
    <row r="625" ht="14.25" customHeight="1">
      <c r="D625" s="44"/>
      <c r="E625" s="43"/>
      <c r="F625" s="43"/>
      <c r="G625" s="43"/>
    </row>
    <row r="626" ht="14.25" customHeight="1">
      <c r="D626" s="44"/>
      <c r="E626" s="43"/>
      <c r="F626" s="43"/>
      <c r="G626" s="43"/>
    </row>
    <row r="627" ht="14.25" customHeight="1">
      <c r="D627" s="44"/>
      <c r="E627" s="43"/>
      <c r="F627" s="43"/>
      <c r="G627" s="43"/>
    </row>
    <row r="628" ht="14.25" customHeight="1">
      <c r="D628" s="44"/>
      <c r="E628" s="43"/>
      <c r="F628" s="43"/>
      <c r="G628" s="43"/>
    </row>
    <row r="629" ht="14.25" customHeight="1">
      <c r="D629" s="44"/>
      <c r="E629" s="43"/>
      <c r="F629" s="43"/>
      <c r="G629" s="43"/>
    </row>
    <row r="630" ht="14.25" customHeight="1">
      <c r="D630" s="44"/>
      <c r="E630" s="43"/>
      <c r="F630" s="43"/>
      <c r="G630" s="43"/>
    </row>
    <row r="631" ht="14.25" customHeight="1">
      <c r="D631" s="44"/>
      <c r="E631" s="43"/>
      <c r="F631" s="43"/>
      <c r="G631" s="43"/>
    </row>
    <row r="632" ht="14.25" customHeight="1">
      <c r="D632" s="44"/>
      <c r="E632" s="43"/>
      <c r="F632" s="43"/>
      <c r="G632" s="43"/>
    </row>
    <row r="633" ht="14.25" customHeight="1">
      <c r="D633" s="44"/>
      <c r="E633" s="43"/>
      <c r="F633" s="43"/>
      <c r="G633" s="43"/>
    </row>
    <row r="634" ht="14.25" customHeight="1">
      <c r="D634" s="44"/>
      <c r="E634" s="43"/>
      <c r="F634" s="43"/>
      <c r="G634" s="43"/>
    </row>
    <row r="635" ht="14.25" customHeight="1">
      <c r="D635" s="44"/>
      <c r="E635" s="43"/>
      <c r="F635" s="43"/>
      <c r="G635" s="43"/>
    </row>
    <row r="636" ht="14.25" customHeight="1">
      <c r="D636" s="44"/>
      <c r="E636" s="43"/>
      <c r="F636" s="43"/>
      <c r="G636" s="43"/>
    </row>
    <row r="637" ht="14.25" customHeight="1">
      <c r="D637" s="44"/>
      <c r="E637" s="43"/>
      <c r="F637" s="43"/>
      <c r="G637" s="43"/>
    </row>
    <row r="638" ht="14.25" customHeight="1">
      <c r="D638" s="44"/>
      <c r="E638" s="43"/>
      <c r="F638" s="43"/>
      <c r="G638" s="43"/>
    </row>
    <row r="639" ht="14.25" customHeight="1">
      <c r="D639" s="44"/>
      <c r="E639" s="43"/>
      <c r="F639" s="43"/>
      <c r="G639" s="43"/>
    </row>
    <row r="640" ht="14.25" customHeight="1">
      <c r="D640" s="44"/>
      <c r="E640" s="43"/>
      <c r="F640" s="43"/>
      <c r="G640" s="43"/>
    </row>
    <row r="641" ht="14.25" customHeight="1">
      <c r="D641" s="44"/>
      <c r="E641" s="43"/>
      <c r="F641" s="43"/>
      <c r="G641" s="43"/>
    </row>
    <row r="642" ht="14.25" customHeight="1">
      <c r="D642" s="44"/>
      <c r="E642" s="43"/>
      <c r="F642" s="43"/>
      <c r="G642" s="43"/>
    </row>
    <row r="643" ht="14.25" customHeight="1">
      <c r="D643" s="44"/>
      <c r="E643" s="43"/>
      <c r="F643" s="43"/>
      <c r="G643" s="43"/>
    </row>
    <row r="644" ht="14.25" customHeight="1">
      <c r="D644" s="44"/>
      <c r="E644" s="43"/>
      <c r="F644" s="43"/>
      <c r="G644" s="43"/>
    </row>
    <row r="645" ht="14.25" customHeight="1">
      <c r="D645" s="44"/>
      <c r="E645" s="43"/>
      <c r="F645" s="43"/>
      <c r="G645" s="43"/>
    </row>
    <row r="646" ht="14.25" customHeight="1">
      <c r="D646" s="44"/>
      <c r="E646" s="43"/>
      <c r="F646" s="43"/>
      <c r="G646" s="43"/>
    </row>
    <row r="647" ht="14.25" customHeight="1">
      <c r="D647" s="44"/>
      <c r="E647" s="43"/>
      <c r="F647" s="43"/>
      <c r="G647" s="43"/>
    </row>
    <row r="648" ht="14.25" customHeight="1">
      <c r="D648" s="44"/>
      <c r="E648" s="43"/>
      <c r="F648" s="43"/>
      <c r="G648" s="43"/>
    </row>
    <row r="649" ht="14.25" customHeight="1">
      <c r="D649" s="44"/>
      <c r="E649" s="43"/>
      <c r="F649" s="43"/>
      <c r="G649" s="43"/>
    </row>
    <row r="650" ht="14.25" customHeight="1">
      <c r="D650" s="44"/>
      <c r="E650" s="43"/>
      <c r="F650" s="43"/>
      <c r="G650" s="43"/>
    </row>
    <row r="651" ht="14.25" customHeight="1">
      <c r="D651" s="44"/>
      <c r="E651" s="43"/>
      <c r="F651" s="43"/>
      <c r="G651" s="43"/>
    </row>
    <row r="652" ht="14.25" customHeight="1">
      <c r="D652" s="44"/>
      <c r="E652" s="43"/>
      <c r="F652" s="43"/>
      <c r="G652" s="43"/>
    </row>
    <row r="653" ht="14.25" customHeight="1">
      <c r="D653" s="44"/>
      <c r="E653" s="43"/>
      <c r="F653" s="43"/>
      <c r="G653" s="43"/>
    </row>
    <row r="654" ht="14.25" customHeight="1">
      <c r="D654" s="44"/>
      <c r="E654" s="43"/>
      <c r="F654" s="43"/>
      <c r="G654" s="43"/>
    </row>
    <row r="655" ht="14.25" customHeight="1">
      <c r="D655" s="44"/>
      <c r="E655" s="43"/>
      <c r="F655" s="43"/>
      <c r="G655" s="43"/>
    </row>
    <row r="656" ht="14.25" customHeight="1">
      <c r="D656" s="44"/>
      <c r="E656" s="43"/>
      <c r="F656" s="43"/>
      <c r="G656" s="43"/>
    </row>
    <row r="657" ht="14.25" customHeight="1">
      <c r="D657" s="44"/>
      <c r="E657" s="43"/>
      <c r="F657" s="43"/>
      <c r="G657" s="43"/>
    </row>
    <row r="658" ht="14.25" customHeight="1">
      <c r="D658" s="44"/>
      <c r="E658" s="43"/>
      <c r="F658" s="43"/>
      <c r="G658" s="43"/>
    </row>
    <row r="659" ht="14.25" customHeight="1">
      <c r="D659" s="44"/>
      <c r="E659" s="43"/>
      <c r="F659" s="43"/>
      <c r="G659" s="43"/>
    </row>
    <row r="660" ht="14.25" customHeight="1">
      <c r="D660" s="44"/>
      <c r="E660" s="43"/>
      <c r="F660" s="43"/>
      <c r="G660" s="43"/>
    </row>
    <row r="661" ht="14.25" customHeight="1">
      <c r="D661" s="44"/>
      <c r="E661" s="43"/>
      <c r="F661" s="43"/>
      <c r="G661" s="43"/>
    </row>
    <row r="662" ht="14.25" customHeight="1">
      <c r="D662" s="44"/>
      <c r="E662" s="43"/>
      <c r="F662" s="43"/>
      <c r="G662" s="43"/>
    </row>
    <row r="663" ht="14.25" customHeight="1">
      <c r="D663" s="44"/>
      <c r="E663" s="43"/>
      <c r="F663" s="43"/>
      <c r="G663" s="43"/>
    </row>
    <row r="664" ht="14.25" customHeight="1">
      <c r="D664" s="44"/>
      <c r="E664" s="43"/>
      <c r="F664" s="43"/>
      <c r="G664" s="43"/>
    </row>
    <row r="665" ht="14.25" customHeight="1">
      <c r="D665" s="44"/>
      <c r="E665" s="43"/>
      <c r="F665" s="43"/>
      <c r="G665" s="43"/>
    </row>
    <row r="666" ht="14.25" customHeight="1">
      <c r="D666" s="44"/>
      <c r="E666" s="43"/>
      <c r="F666" s="43"/>
      <c r="G666" s="43"/>
    </row>
    <row r="667" ht="14.25" customHeight="1">
      <c r="D667" s="44"/>
      <c r="E667" s="43"/>
      <c r="F667" s="43"/>
      <c r="G667" s="43"/>
    </row>
    <row r="668" ht="14.25" customHeight="1">
      <c r="D668" s="44"/>
      <c r="E668" s="43"/>
      <c r="F668" s="43"/>
      <c r="G668" s="43"/>
    </row>
    <row r="669" ht="14.25" customHeight="1">
      <c r="D669" s="44"/>
      <c r="E669" s="43"/>
      <c r="F669" s="43"/>
      <c r="G669" s="43"/>
    </row>
    <row r="670" ht="14.25" customHeight="1">
      <c r="D670" s="44"/>
      <c r="E670" s="43"/>
      <c r="F670" s="43"/>
      <c r="G670" s="43"/>
    </row>
    <row r="671" ht="14.25" customHeight="1">
      <c r="D671" s="44"/>
      <c r="E671" s="43"/>
      <c r="F671" s="43"/>
      <c r="G671" s="43"/>
    </row>
    <row r="672" ht="14.25" customHeight="1">
      <c r="D672" s="44"/>
      <c r="E672" s="43"/>
      <c r="F672" s="43"/>
      <c r="G672" s="43"/>
    </row>
    <row r="673" ht="14.25" customHeight="1">
      <c r="D673" s="44"/>
      <c r="E673" s="43"/>
      <c r="F673" s="43"/>
      <c r="G673" s="43"/>
    </row>
    <row r="674" ht="14.25" customHeight="1">
      <c r="D674" s="44"/>
      <c r="E674" s="43"/>
      <c r="F674" s="43"/>
      <c r="G674" s="43"/>
    </row>
    <row r="675" ht="14.25" customHeight="1">
      <c r="D675" s="44"/>
      <c r="E675" s="43"/>
      <c r="F675" s="43"/>
      <c r="G675" s="43"/>
    </row>
    <row r="676" ht="14.25" customHeight="1">
      <c r="D676" s="44"/>
      <c r="E676" s="43"/>
      <c r="F676" s="43"/>
      <c r="G676" s="43"/>
    </row>
    <row r="677" ht="14.25" customHeight="1">
      <c r="D677" s="44"/>
      <c r="E677" s="43"/>
      <c r="F677" s="43"/>
      <c r="G677" s="43"/>
    </row>
    <row r="678" ht="14.25" customHeight="1">
      <c r="D678" s="44"/>
      <c r="E678" s="43"/>
      <c r="F678" s="43"/>
      <c r="G678" s="43"/>
    </row>
    <row r="679" ht="14.25" customHeight="1">
      <c r="D679" s="44"/>
      <c r="E679" s="43"/>
      <c r="F679" s="43"/>
      <c r="G679" s="43"/>
    </row>
    <row r="680" ht="14.25" customHeight="1">
      <c r="D680" s="44"/>
      <c r="E680" s="43"/>
      <c r="F680" s="43"/>
      <c r="G680" s="43"/>
    </row>
    <row r="681" ht="14.25" customHeight="1">
      <c r="D681" s="44"/>
      <c r="E681" s="43"/>
      <c r="F681" s="43"/>
      <c r="G681" s="43"/>
    </row>
    <row r="682" ht="14.25" customHeight="1">
      <c r="D682" s="44"/>
      <c r="E682" s="43"/>
      <c r="F682" s="43"/>
      <c r="G682" s="43"/>
    </row>
    <row r="683" ht="14.25" customHeight="1">
      <c r="D683" s="44"/>
      <c r="E683" s="43"/>
      <c r="F683" s="43"/>
      <c r="G683" s="43"/>
    </row>
    <row r="684" ht="14.25" customHeight="1">
      <c r="D684" s="44"/>
      <c r="E684" s="43"/>
      <c r="F684" s="43"/>
      <c r="G684" s="43"/>
    </row>
    <row r="685" ht="14.25" customHeight="1">
      <c r="D685" s="44"/>
      <c r="E685" s="43"/>
      <c r="F685" s="43"/>
      <c r="G685" s="43"/>
    </row>
    <row r="686" ht="14.25" customHeight="1">
      <c r="D686" s="44"/>
      <c r="E686" s="43"/>
      <c r="F686" s="43"/>
      <c r="G686" s="43"/>
    </row>
    <row r="687" ht="14.25" customHeight="1">
      <c r="D687" s="44"/>
      <c r="E687" s="43"/>
      <c r="F687" s="43"/>
      <c r="G687" s="43"/>
    </row>
    <row r="688" ht="14.25" customHeight="1">
      <c r="D688" s="44"/>
      <c r="E688" s="43"/>
      <c r="F688" s="43"/>
      <c r="G688" s="43"/>
    </row>
    <row r="689" ht="14.25" customHeight="1">
      <c r="D689" s="44"/>
      <c r="E689" s="43"/>
      <c r="F689" s="43"/>
      <c r="G689" s="43"/>
    </row>
    <row r="690" ht="14.25" customHeight="1">
      <c r="D690" s="44"/>
      <c r="E690" s="43"/>
      <c r="F690" s="43"/>
      <c r="G690" s="43"/>
    </row>
    <row r="691" ht="14.25" customHeight="1">
      <c r="D691" s="44"/>
      <c r="E691" s="43"/>
      <c r="F691" s="43"/>
      <c r="G691" s="43"/>
    </row>
    <row r="692" ht="14.25" customHeight="1">
      <c r="D692" s="44"/>
      <c r="E692" s="43"/>
      <c r="F692" s="43"/>
      <c r="G692" s="43"/>
    </row>
    <row r="693" ht="14.25" customHeight="1">
      <c r="D693" s="44"/>
      <c r="E693" s="43"/>
      <c r="F693" s="43"/>
      <c r="G693" s="43"/>
    </row>
    <row r="694" ht="14.25" customHeight="1">
      <c r="D694" s="44"/>
      <c r="E694" s="43"/>
      <c r="F694" s="43"/>
      <c r="G694" s="43"/>
    </row>
    <row r="695" ht="14.25" customHeight="1">
      <c r="D695" s="44"/>
      <c r="E695" s="43"/>
      <c r="F695" s="43"/>
      <c r="G695" s="43"/>
    </row>
    <row r="696" ht="14.25" customHeight="1">
      <c r="D696" s="44"/>
      <c r="E696" s="43"/>
      <c r="F696" s="43"/>
      <c r="G696" s="43"/>
    </row>
    <row r="697" ht="14.25" customHeight="1">
      <c r="D697" s="44"/>
      <c r="E697" s="43"/>
      <c r="F697" s="43"/>
      <c r="G697" s="43"/>
    </row>
    <row r="698" ht="14.25" customHeight="1">
      <c r="D698" s="44"/>
      <c r="E698" s="43"/>
      <c r="F698" s="43"/>
      <c r="G698" s="43"/>
    </row>
    <row r="699" ht="14.25" customHeight="1">
      <c r="D699" s="44"/>
      <c r="E699" s="43"/>
      <c r="F699" s="43"/>
      <c r="G699" s="43"/>
    </row>
    <row r="700" ht="14.25" customHeight="1">
      <c r="D700" s="44"/>
      <c r="E700" s="43"/>
      <c r="F700" s="43"/>
      <c r="G700" s="43"/>
    </row>
    <row r="701" ht="14.25" customHeight="1">
      <c r="D701" s="44"/>
      <c r="E701" s="43"/>
      <c r="F701" s="43"/>
      <c r="G701" s="43"/>
    </row>
    <row r="702" ht="14.25" customHeight="1">
      <c r="D702" s="44"/>
      <c r="E702" s="43"/>
      <c r="F702" s="43"/>
      <c r="G702" s="43"/>
    </row>
    <row r="703" ht="14.25" customHeight="1">
      <c r="D703" s="44"/>
      <c r="E703" s="43"/>
      <c r="F703" s="43"/>
      <c r="G703" s="43"/>
    </row>
    <row r="704" ht="14.25" customHeight="1">
      <c r="D704" s="44"/>
      <c r="E704" s="43"/>
      <c r="F704" s="43"/>
      <c r="G704" s="43"/>
    </row>
    <row r="705" ht="14.25" customHeight="1">
      <c r="D705" s="44"/>
      <c r="E705" s="43"/>
      <c r="F705" s="43"/>
      <c r="G705" s="43"/>
    </row>
    <row r="706" ht="14.25" customHeight="1">
      <c r="D706" s="44"/>
      <c r="E706" s="43"/>
      <c r="F706" s="43"/>
      <c r="G706" s="43"/>
    </row>
    <row r="707" ht="14.25" customHeight="1">
      <c r="D707" s="44"/>
      <c r="E707" s="43"/>
      <c r="F707" s="43"/>
      <c r="G707" s="43"/>
    </row>
    <row r="708" ht="14.25" customHeight="1">
      <c r="D708" s="44"/>
      <c r="E708" s="43"/>
      <c r="F708" s="43"/>
      <c r="G708" s="43"/>
    </row>
    <row r="709" ht="14.25" customHeight="1">
      <c r="D709" s="44"/>
      <c r="E709" s="43"/>
      <c r="F709" s="43"/>
      <c r="G709" s="43"/>
    </row>
    <row r="710" ht="14.25" customHeight="1">
      <c r="D710" s="44"/>
      <c r="E710" s="43"/>
      <c r="F710" s="43"/>
      <c r="G710" s="43"/>
    </row>
    <row r="711" ht="14.25" customHeight="1">
      <c r="D711" s="44"/>
      <c r="E711" s="43"/>
      <c r="F711" s="43"/>
      <c r="G711" s="43"/>
    </row>
    <row r="712" ht="14.25" customHeight="1">
      <c r="D712" s="44"/>
      <c r="E712" s="43"/>
      <c r="F712" s="43"/>
      <c r="G712" s="43"/>
    </row>
    <row r="713" ht="14.25" customHeight="1">
      <c r="D713" s="44"/>
      <c r="E713" s="43"/>
      <c r="F713" s="43"/>
      <c r="G713" s="43"/>
    </row>
    <row r="714" ht="14.25" customHeight="1">
      <c r="D714" s="44"/>
      <c r="E714" s="43"/>
      <c r="F714" s="43"/>
      <c r="G714" s="43"/>
    </row>
    <row r="715" ht="14.25" customHeight="1">
      <c r="D715" s="44"/>
      <c r="E715" s="43"/>
      <c r="F715" s="43"/>
      <c r="G715" s="43"/>
    </row>
    <row r="716" ht="14.25" customHeight="1">
      <c r="D716" s="44"/>
      <c r="E716" s="43"/>
      <c r="F716" s="43"/>
      <c r="G716" s="43"/>
    </row>
    <row r="717" ht="14.25" customHeight="1">
      <c r="D717" s="44"/>
      <c r="E717" s="43"/>
      <c r="F717" s="43"/>
      <c r="G717" s="43"/>
    </row>
    <row r="718" ht="14.25" customHeight="1">
      <c r="D718" s="44"/>
      <c r="E718" s="43"/>
      <c r="F718" s="43"/>
      <c r="G718" s="43"/>
    </row>
    <row r="719" ht="14.25" customHeight="1">
      <c r="D719" s="44"/>
      <c r="E719" s="43"/>
      <c r="F719" s="43"/>
      <c r="G719" s="43"/>
    </row>
    <row r="720" ht="14.25" customHeight="1">
      <c r="D720" s="44"/>
      <c r="E720" s="43"/>
      <c r="F720" s="43"/>
      <c r="G720" s="43"/>
    </row>
    <row r="721" ht="14.25" customHeight="1">
      <c r="D721" s="44"/>
      <c r="E721" s="43"/>
      <c r="F721" s="43"/>
      <c r="G721" s="43"/>
    </row>
    <row r="722" ht="14.25" customHeight="1">
      <c r="D722" s="44"/>
      <c r="E722" s="43"/>
      <c r="F722" s="43"/>
      <c r="G722" s="43"/>
    </row>
    <row r="723" ht="14.25" customHeight="1">
      <c r="D723" s="44"/>
      <c r="E723" s="43"/>
      <c r="F723" s="43"/>
      <c r="G723" s="43"/>
    </row>
    <row r="724" ht="14.25" customHeight="1">
      <c r="D724" s="44"/>
      <c r="E724" s="43"/>
      <c r="F724" s="43"/>
      <c r="G724" s="43"/>
    </row>
    <row r="725" ht="14.25" customHeight="1">
      <c r="D725" s="44"/>
      <c r="E725" s="43"/>
      <c r="F725" s="43"/>
      <c r="G725" s="43"/>
    </row>
    <row r="726" ht="14.25" customHeight="1">
      <c r="D726" s="44"/>
      <c r="E726" s="43"/>
      <c r="F726" s="43"/>
      <c r="G726" s="43"/>
    </row>
    <row r="727" ht="14.25" customHeight="1">
      <c r="D727" s="44"/>
      <c r="E727" s="43"/>
      <c r="F727" s="43"/>
      <c r="G727" s="43"/>
    </row>
    <row r="728" ht="14.25" customHeight="1">
      <c r="D728" s="44"/>
      <c r="E728" s="43"/>
      <c r="F728" s="43"/>
      <c r="G728" s="43"/>
    </row>
    <row r="729" ht="14.25" customHeight="1">
      <c r="D729" s="44"/>
      <c r="E729" s="43"/>
      <c r="F729" s="43"/>
      <c r="G729" s="43"/>
    </row>
    <row r="730" ht="14.25" customHeight="1">
      <c r="D730" s="44"/>
      <c r="E730" s="43"/>
      <c r="F730" s="43"/>
      <c r="G730" s="43"/>
    </row>
    <row r="731" ht="14.25" customHeight="1">
      <c r="D731" s="44"/>
      <c r="E731" s="43"/>
      <c r="F731" s="43"/>
      <c r="G731" s="43"/>
    </row>
    <row r="732" ht="14.25" customHeight="1">
      <c r="D732" s="44"/>
      <c r="E732" s="43"/>
      <c r="F732" s="43"/>
      <c r="G732" s="43"/>
    </row>
    <row r="733" ht="14.25" customHeight="1">
      <c r="D733" s="44"/>
      <c r="E733" s="43"/>
      <c r="F733" s="43"/>
      <c r="G733" s="43"/>
    </row>
    <row r="734" ht="14.25" customHeight="1">
      <c r="D734" s="44"/>
      <c r="E734" s="43"/>
      <c r="F734" s="43"/>
      <c r="G734" s="43"/>
    </row>
    <row r="735" ht="14.25" customHeight="1">
      <c r="D735" s="44"/>
      <c r="E735" s="43"/>
      <c r="F735" s="43"/>
      <c r="G735" s="43"/>
    </row>
    <row r="736" ht="14.25" customHeight="1">
      <c r="D736" s="44"/>
      <c r="E736" s="43"/>
      <c r="F736" s="43"/>
      <c r="G736" s="43"/>
    </row>
    <row r="737" ht="14.25" customHeight="1">
      <c r="D737" s="44"/>
      <c r="E737" s="43"/>
      <c r="F737" s="43"/>
      <c r="G737" s="43"/>
    </row>
    <row r="738" ht="14.25" customHeight="1">
      <c r="D738" s="44"/>
      <c r="E738" s="43"/>
      <c r="F738" s="43"/>
      <c r="G738" s="43"/>
    </row>
    <row r="739" ht="14.25" customHeight="1">
      <c r="D739" s="44"/>
      <c r="E739" s="43"/>
      <c r="F739" s="43"/>
      <c r="G739" s="43"/>
    </row>
    <row r="740" ht="14.25" customHeight="1">
      <c r="D740" s="44"/>
      <c r="E740" s="43"/>
      <c r="F740" s="43"/>
      <c r="G740" s="43"/>
    </row>
    <row r="741" ht="14.25" customHeight="1">
      <c r="D741" s="44"/>
      <c r="E741" s="43"/>
      <c r="F741" s="43"/>
      <c r="G741" s="43"/>
    </row>
    <row r="742" ht="14.25" customHeight="1">
      <c r="D742" s="44"/>
      <c r="E742" s="43"/>
      <c r="F742" s="43"/>
      <c r="G742" s="43"/>
    </row>
    <row r="743" ht="14.25" customHeight="1">
      <c r="D743" s="44"/>
      <c r="E743" s="43"/>
      <c r="F743" s="43"/>
      <c r="G743" s="43"/>
    </row>
    <row r="744" ht="14.25" customHeight="1">
      <c r="D744" s="44"/>
      <c r="E744" s="43"/>
      <c r="F744" s="43"/>
      <c r="G744" s="43"/>
    </row>
    <row r="745" ht="14.25" customHeight="1">
      <c r="D745" s="44"/>
      <c r="E745" s="43"/>
      <c r="F745" s="43"/>
      <c r="G745" s="43"/>
    </row>
    <row r="746" ht="14.25" customHeight="1">
      <c r="D746" s="44"/>
      <c r="E746" s="43"/>
      <c r="F746" s="43"/>
      <c r="G746" s="43"/>
    </row>
    <row r="747" ht="14.25" customHeight="1">
      <c r="D747" s="44"/>
      <c r="E747" s="43"/>
      <c r="F747" s="43"/>
      <c r="G747" s="43"/>
    </row>
    <row r="748" ht="14.25" customHeight="1">
      <c r="D748" s="44"/>
      <c r="E748" s="43"/>
      <c r="F748" s="43"/>
      <c r="G748" s="43"/>
    </row>
    <row r="749" ht="14.25" customHeight="1">
      <c r="D749" s="44"/>
      <c r="E749" s="43"/>
      <c r="F749" s="43"/>
      <c r="G749" s="43"/>
    </row>
    <row r="750" ht="14.25" customHeight="1">
      <c r="D750" s="44"/>
      <c r="E750" s="43"/>
      <c r="F750" s="43"/>
      <c r="G750" s="43"/>
    </row>
    <row r="751" ht="14.25" customHeight="1">
      <c r="D751" s="44"/>
      <c r="E751" s="43"/>
      <c r="F751" s="43"/>
      <c r="G751" s="43"/>
    </row>
    <row r="752" ht="14.25" customHeight="1">
      <c r="D752" s="44"/>
      <c r="E752" s="43"/>
      <c r="F752" s="43"/>
      <c r="G752" s="43"/>
    </row>
    <row r="753" ht="14.25" customHeight="1">
      <c r="D753" s="44"/>
      <c r="E753" s="43"/>
      <c r="F753" s="43"/>
      <c r="G753" s="43"/>
    </row>
    <row r="754" ht="14.25" customHeight="1">
      <c r="D754" s="44"/>
      <c r="E754" s="43"/>
      <c r="F754" s="43"/>
      <c r="G754" s="43"/>
    </row>
    <row r="755" ht="14.25" customHeight="1">
      <c r="D755" s="44"/>
      <c r="E755" s="43"/>
      <c r="F755" s="43"/>
      <c r="G755" s="43"/>
    </row>
    <row r="756" ht="14.25" customHeight="1">
      <c r="D756" s="44"/>
      <c r="E756" s="43"/>
      <c r="F756" s="43"/>
      <c r="G756" s="43"/>
    </row>
    <row r="757" ht="14.25" customHeight="1">
      <c r="D757" s="44"/>
      <c r="E757" s="43"/>
      <c r="F757" s="43"/>
      <c r="G757" s="43"/>
    </row>
    <row r="758" ht="14.25" customHeight="1">
      <c r="D758" s="44"/>
      <c r="E758" s="43"/>
      <c r="F758" s="43"/>
      <c r="G758" s="43"/>
    </row>
    <row r="759" ht="14.25" customHeight="1">
      <c r="D759" s="44"/>
      <c r="E759" s="43"/>
      <c r="F759" s="43"/>
      <c r="G759" s="43"/>
    </row>
    <row r="760" ht="14.25" customHeight="1">
      <c r="D760" s="44"/>
      <c r="E760" s="43"/>
      <c r="F760" s="43"/>
      <c r="G760" s="43"/>
    </row>
    <row r="761" ht="14.25" customHeight="1">
      <c r="D761" s="44"/>
      <c r="E761" s="43"/>
      <c r="F761" s="43"/>
      <c r="G761" s="43"/>
    </row>
    <row r="762" ht="14.25" customHeight="1">
      <c r="D762" s="44"/>
      <c r="E762" s="43"/>
      <c r="F762" s="43"/>
      <c r="G762" s="43"/>
    </row>
    <row r="763" ht="14.25" customHeight="1">
      <c r="D763" s="44"/>
      <c r="E763" s="43"/>
      <c r="F763" s="43"/>
      <c r="G763" s="43"/>
    </row>
    <row r="764" ht="14.25" customHeight="1">
      <c r="D764" s="44"/>
      <c r="E764" s="43"/>
      <c r="F764" s="43"/>
      <c r="G764" s="43"/>
    </row>
    <row r="765" ht="14.25" customHeight="1">
      <c r="D765" s="44"/>
      <c r="E765" s="43"/>
      <c r="F765" s="43"/>
      <c r="G765" s="43"/>
    </row>
    <row r="766" ht="14.25" customHeight="1">
      <c r="D766" s="44"/>
      <c r="E766" s="43"/>
      <c r="F766" s="43"/>
      <c r="G766" s="43"/>
    </row>
    <row r="767" ht="14.25" customHeight="1">
      <c r="D767" s="44"/>
      <c r="E767" s="43"/>
      <c r="F767" s="43"/>
      <c r="G767" s="43"/>
    </row>
    <row r="768" ht="14.25" customHeight="1">
      <c r="D768" s="44"/>
      <c r="E768" s="43"/>
      <c r="F768" s="43"/>
      <c r="G768" s="43"/>
    </row>
    <row r="769" ht="14.25" customHeight="1">
      <c r="D769" s="44"/>
      <c r="E769" s="43"/>
      <c r="F769" s="43"/>
      <c r="G769" s="43"/>
    </row>
    <row r="770" ht="14.25" customHeight="1">
      <c r="D770" s="44"/>
      <c r="E770" s="43"/>
      <c r="F770" s="43"/>
      <c r="G770" s="43"/>
    </row>
    <row r="771" ht="14.25" customHeight="1">
      <c r="D771" s="44"/>
      <c r="E771" s="43"/>
      <c r="F771" s="43"/>
      <c r="G771" s="43"/>
    </row>
    <row r="772" ht="14.25" customHeight="1">
      <c r="D772" s="44"/>
      <c r="E772" s="43"/>
      <c r="F772" s="43"/>
      <c r="G772" s="43"/>
    </row>
    <row r="773" ht="14.25" customHeight="1">
      <c r="D773" s="44"/>
      <c r="E773" s="43"/>
      <c r="F773" s="43"/>
      <c r="G773" s="43"/>
    </row>
    <row r="774" ht="14.25" customHeight="1">
      <c r="D774" s="44"/>
      <c r="E774" s="43"/>
      <c r="F774" s="43"/>
      <c r="G774" s="43"/>
    </row>
    <row r="775" ht="14.25" customHeight="1">
      <c r="D775" s="44"/>
      <c r="E775" s="43"/>
      <c r="F775" s="43"/>
      <c r="G775" s="43"/>
    </row>
    <row r="776" ht="14.25" customHeight="1">
      <c r="D776" s="44"/>
      <c r="E776" s="43"/>
      <c r="F776" s="43"/>
      <c r="G776" s="43"/>
    </row>
    <row r="777" ht="14.25" customHeight="1">
      <c r="D777" s="44"/>
      <c r="E777" s="43"/>
      <c r="F777" s="43"/>
      <c r="G777" s="43"/>
    </row>
    <row r="778" ht="14.25" customHeight="1">
      <c r="D778" s="44"/>
      <c r="E778" s="43"/>
      <c r="F778" s="43"/>
      <c r="G778" s="43"/>
    </row>
    <row r="779" ht="14.25" customHeight="1">
      <c r="D779" s="44"/>
      <c r="E779" s="43"/>
      <c r="F779" s="43"/>
      <c r="G779" s="43"/>
    </row>
    <row r="780" ht="14.25" customHeight="1">
      <c r="D780" s="44"/>
      <c r="E780" s="43"/>
      <c r="F780" s="43"/>
      <c r="G780" s="43"/>
    </row>
    <row r="781" ht="14.25" customHeight="1">
      <c r="D781" s="44"/>
      <c r="E781" s="43"/>
      <c r="F781" s="43"/>
      <c r="G781" s="43"/>
    </row>
    <row r="782" ht="14.25" customHeight="1">
      <c r="D782" s="44"/>
      <c r="E782" s="43"/>
      <c r="F782" s="43"/>
      <c r="G782" s="43"/>
    </row>
    <row r="783" ht="14.25" customHeight="1">
      <c r="D783" s="44"/>
      <c r="E783" s="43"/>
      <c r="F783" s="43"/>
      <c r="G783" s="43"/>
    </row>
    <row r="784" ht="14.25" customHeight="1">
      <c r="D784" s="44"/>
      <c r="E784" s="43"/>
      <c r="F784" s="43"/>
      <c r="G784" s="43"/>
    </row>
    <row r="785" ht="14.25" customHeight="1">
      <c r="D785" s="44"/>
      <c r="E785" s="43"/>
      <c r="F785" s="43"/>
      <c r="G785" s="43"/>
    </row>
    <row r="786" ht="14.25" customHeight="1">
      <c r="D786" s="44"/>
      <c r="E786" s="43"/>
      <c r="F786" s="43"/>
      <c r="G786" s="43"/>
    </row>
    <row r="787" ht="14.25" customHeight="1">
      <c r="D787" s="44"/>
      <c r="E787" s="43"/>
      <c r="F787" s="43"/>
      <c r="G787" s="43"/>
    </row>
    <row r="788" ht="14.25" customHeight="1">
      <c r="D788" s="44"/>
      <c r="E788" s="43"/>
      <c r="F788" s="43"/>
      <c r="G788" s="43"/>
    </row>
    <row r="789" ht="14.25" customHeight="1">
      <c r="D789" s="44"/>
      <c r="E789" s="43"/>
      <c r="F789" s="43"/>
      <c r="G789" s="43"/>
    </row>
    <row r="790" ht="14.25" customHeight="1">
      <c r="D790" s="44"/>
      <c r="E790" s="43"/>
      <c r="F790" s="43"/>
      <c r="G790" s="43"/>
    </row>
    <row r="791" ht="14.25" customHeight="1">
      <c r="D791" s="44"/>
      <c r="E791" s="43"/>
      <c r="F791" s="43"/>
      <c r="G791" s="43"/>
    </row>
    <row r="792" ht="14.25" customHeight="1">
      <c r="D792" s="44"/>
      <c r="E792" s="43"/>
      <c r="F792" s="43"/>
      <c r="G792" s="43"/>
    </row>
    <row r="793" ht="14.25" customHeight="1">
      <c r="D793" s="44"/>
      <c r="E793" s="43"/>
      <c r="F793" s="43"/>
      <c r="G793" s="43"/>
    </row>
    <row r="794" ht="14.25" customHeight="1">
      <c r="D794" s="44"/>
      <c r="E794" s="43"/>
      <c r="F794" s="43"/>
      <c r="G794" s="43"/>
    </row>
    <row r="795" ht="14.25" customHeight="1">
      <c r="D795" s="44"/>
      <c r="E795" s="43"/>
      <c r="F795" s="43"/>
      <c r="G795" s="43"/>
    </row>
    <row r="796" ht="14.25" customHeight="1">
      <c r="D796" s="44"/>
      <c r="E796" s="43"/>
      <c r="F796" s="43"/>
      <c r="G796" s="43"/>
    </row>
    <row r="797" ht="14.25" customHeight="1">
      <c r="D797" s="44"/>
      <c r="E797" s="43"/>
      <c r="F797" s="43"/>
      <c r="G797" s="43"/>
    </row>
    <row r="798" ht="14.25" customHeight="1">
      <c r="D798" s="44"/>
      <c r="E798" s="43"/>
      <c r="F798" s="43"/>
      <c r="G798" s="43"/>
    </row>
    <row r="799" ht="14.25" customHeight="1">
      <c r="D799" s="44"/>
      <c r="E799" s="43"/>
      <c r="F799" s="43"/>
      <c r="G799" s="43"/>
    </row>
    <row r="800" ht="14.25" customHeight="1">
      <c r="D800" s="44"/>
      <c r="E800" s="43"/>
      <c r="F800" s="43"/>
      <c r="G800" s="43"/>
    </row>
    <row r="801" ht="14.25" customHeight="1">
      <c r="D801" s="44"/>
      <c r="E801" s="43"/>
      <c r="F801" s="43"/>
      <c r="G801" s="43"/>
    </row>
    <row r="802" ht="14.25" customHeight="1">
      <c r="D802" s="44"/>
      <c r="E802" s="43"/>
      <c r="F802" s="43"/>
      <c r="G802" s="43"/>
    </row>
    <row r="803" ht="14.25" customHeight="1">
      <c r="D803" s="44"/>
      <c r="E803" s="43"/>
      <c r="F803" s="43"/>
      <c r="G803" s="43"/>
    </row>
    <row r="804" ht="14.25" customHeight="1">
      <c r="D804" s="44"/>
      <c r="E804" s="43"/>
      <c r="F804" s="43"/>
      <c r="G804" s="43"/>
    </row>
    <row r="805" ht="14.25" customHeight="1">
      <c r="D805" s="44"/>
      <c r="E805" s="43"/>
      <c r="F805" s="43"/>
      <c r="G805" s="43"/>
    </row>
    <row r="806" ht="14.25" customHeight="1">
      <c r="D806" s="44"/>
      <c r="E806" s="43"/>
      <c r="F806" s="43"/>
      <c r="G806" s="43"/>
    </row>
    <row r="807" ht="14.25" customHeight="1">
      <c r="D807" s="44"/>
      <c r="E807" s="43"/>
      <c r="F807" s="43"/>
      <c r="G807" s="43"/>
    </row>
    <row r="808" ht="14.25" customHeight="1">
      <c r="D808" s="44"/>
      <c r="E808" s="43"/>
      <c r="F808" s="43"/>
      <c r="G808" s="43"/>
    </row>
    <row r="809" ht="14.25" customHeight="1">
      <c r="D809" s="44"/>
      <c r="E809" s="43"/>
      <c r="F809" s="43"/>
      <c r="G809" s="43"/>
    </row>
    <row r="810" ht="14.25" customHeight="1">
      <c r="D810" s="44"/>
      <c r="E810" s="43"/>
      <c r="F810" s="43"/>
      <c r="G810" s="43"/>
    </row>
    <row r="811" ht="14.25" customHeight="1">
      <c r="D811" s="44"/>
      <c r="E811" s="43"/>
      <c r="F811" s="43"/>
      <c r="G811" s="43"/>
    </row>
    <row r="812" ht="14.25" customHeight="1">
      <c r="D812" s="44"/>
      <c r="E812" s="43"/>
      <c r="F812" s="43"/>
      <c r="G812" s="43"/>
    </row>
    <row r="813" ht="14.25" customHeight="1">
      <c r="D813" s="44"/>
      <c r="E813" s="43"/>
      <c r="F813" s="43"/>
      <c r="G813" s="43"/>
    </row>
    <row r="814" ht="14.25" customHeight="1">
      <c r="D814" s="44"/>
      <c r="E814" s="43"/>
      <c r="F814" s="43"/>
      <c r="G814" s="43"/>
    </row>
    <row r="815" ht="14.25" customHeight="1">
      <c r="D815" s="44"/>
      <c r="E815" s="43"/>
      <c r="F815" s="43"/>
      <c r="G815" s="43"/>
    </row>
    <row r="816" ht="14.25" customHeight="1">
      <c r="D816" s="44"/>
      <c r="E816" s="43"/>
      <c r="F816" s="43"/>
      <c r="G816" s="43"/>
    </row>
    <row r="817" ht="14.25" customHeight="1">
      <c r="D817" s="44"/>
      <c r="E817" s="43"/>
      <c r="F817" s="43"/>
      <c r="G817" s="43"/>
    </row>
    <row r="818" ht="14.25" customHeight="1">
      <c r="D818" s="44"/>
      <c r="E818" s="43"/>
      <c r="F818" s="43"/>
      <c r="G818" s="43"/>
    </row>
    <row r="819" ht="14.25" customHeight="1">
      <c r="D819" s="44"/>
      <c r="E819" s="43"/>
      <c r="F819" s="43"/>
      <c r="G819" s="43"/>
    </row>
    <row r="820" ht="14.25" customHeight="1">
      <c r="D820" s="44"/>
      <c r="E820" s="43"/>
      <c r="F820" s="43"/>
      <c r="G820" s="43"/>
    </row>
    <row r="821" ht="14.25" customHeight="1">
      <c r="D821" s="44"/>
      <c r="E821" s="43"/>
      <c r="F821" s="43"/>
      <c r="G821" s="43"/>
    </row>
    <row r="822" ht="14.25" customHeight="1">
      <c r="D822" s="44"/>
      <c r="E822" s="43"/>
      <c r="F822" s="43"/>
      <c r="G822" s="43"/>
    </row>
    <row r="823" ht="14.25" customHeight="1">
      <c r="D823" s="44"/>
      <c r="E823" s="43"/>
      <c r="F823" s="43"/>
      <c r="G823" s="43"/>
    </row>
    <row r="824" ht="14.25" customHeight="1">
      <c r="D824" s="44"/>
      <c r="E824" s="43"/>
      <c r="F824" s="43"/>
      <c r="G824" s="43"/>
    </row>
    <row r="825" ht="14.25" customHeight="1">
      <c r="D825" s="44"/>
      <c r="E825" s="43"/>
      <c r="F825" s="43"/>
      <c r="G825" s="43"/>
    </row>
    <row r="826" ht="14.25" customHeight="1">
      <c r="D826" s="44"/>
      <c r="E826" s="43"/>
      <c r="F826" s="43"/>
      <c r="G826" s="43"/>
    </row>
    <row r="827" ht="14.25" customHeight="1">
      <c r="D827" s="44"/>
      <c r="E827" s="43"/>
      <c r="F827" s="43"/>
      <c r="G827" s="43"/>
    </row>
    <row r="828" ht="14.25" customHeight="1">
      <c r="D828" s="44"/>
      <c r="E828" s="43"/>
      <c r="F828" s="43"/>
      <c r="G828" s="43"/>
    </row>
    <row r="829" ht="14.25" customHeight="1">
      <c r="D829" s="44"/>
      <c r="E829" s="43"/>
      <c r="F829" s="43"/>
      <c r="G829" s="43"/>
    </row>
    <row r="830" ht="14.25" customHeight="1">
      <c r="D830" s="44"/>
      <c r="E830" s="43"/>
      <c r="F830" s="43"/>
      <c r="G830" s="43"/>
    </row>
    <row r="831" ht="14.25" customHeight="1">
      <c r="D831" s="44"/>
      <c r="E831" s="43"/>
      <c r="F831" s="43"/>
      <c r="G831" s="43"/>
    </row>
    <row r="832" ht="14.25" customHeight="1">
      <c r="D832" s="44"/>
      <c r="E832" s="43"/>
      <c r="F832" s="43"/>
      <c r="G832" s="43"/>
    </row>
    <row r="833" ht="14.25" customHeight="1">
      <c r="D833" s="44"/>
      <c r="E833" s="43"/>
      <c r="F833" s="43"/>
      <c r="G833" s="43"/>
    </row>
    <row r="834" ht="14.25" customHeight="1">
      <c r="D834" s="44"/>
      <c r="E834" s="43"/>
      <c r="F834" s="43"/>
      <c r="G834" s="43"/>
    </row>
    <row r="835" ht="14.25" customHeight="1">
      <c r="D835" s="44"/>
      <c r="E835" s="43"/>
      <c r="F835" s="43"/>
      <c r="G835" s="43"/>
    </row>
    <row r="836" ht="14.25" customHeight="1">
      <c r="D836" s="44"/>
      <c r="E836" s="43"/>
      <c r="F836" s="43"/>
      <c r="G836" s="43"/>
    </row>
    <row r="837" ht="14.25" customHeight="1">
      <c r="D837" s="44"/>
      <c r="E837" s="43"/>
      <c r="F837" s="43"/>
      <c r="G837" s="43"/>
    </row>
    <row r="838" ht="14.25" customHeight="1">
      <c r="D838" s="44"/>
      <c r="E838" s="43"/>
      <c r="F838" s="43"/>
      <c r="G838" s="43"/>
    </row>
    <row r="839" ht="14.25" customHeight="1">
      <c r="D839" s="44"/>
      <c r="E839" s="43"/>
      <c r="F839" s="43"/>
      <c r="G839" s="43"/>
    </row>
    <row r="840" ht="14.25" customHeight="1">
      <c r="D840" s="44"/>
      <c r="E840" s="43"/>
      <c r="F840" s="43"/>
      <c r="G840" s="43"/>
    </row>
    <row r="841" ht="14.25" customHeight="1">
      <c r="D841" s="44"/>
      <c r="E841" s="43"/>
      <c r="F841" s="43"/>
      <c r="G841" s="43"/>
    </row>
    <row r="842" ht="14.25" customHeight="1">
      <c r="D842" s="44"/>
      <c r="E842" s="43"/>
      <c r="F842" s="43"/>
      <c r="G842" s="43"/>
    </row>
    <row r="843" ht="14.25" customHeight="1">
      <c r="D843" s="44"/>
      <c r="E843" s="43"/>
      <c r="F843" s="43"/>
      <c r="G843" s="43"/>
    </row>
    <row r="844" ht="14.25" customHeight="1">
      <c r="D844" s="44"/>
      <c r="E844" s="43"/>
      <c r="F844" s="43"/>
      <c r="G844" s="43"/>
    </row>
    <row r="845" ht="14.25" customHeight="1">
      <c r="D845" s="44"/>
      <c r="E845" s="43"/>
      <c r="F845" s="43"/>
      <c r="G845" s="43"/>
    </row>
    <row r="846" ht="14.25" customHeight="1">
      <c r="D846" s="44"/>
      <c r="E846" s="43"/>
      <c r="F846" s="43"/>
      <c r="G846" s="43"/>
    </row>
    <row r="847" ht="14.25" customHeight="1">
      <c r="D847" s="44"/>
      <c r="E847" s="43"/>
      <c r="F847" s="43"/>
      <c r="G847" s="43"/>
    </row>
    <row r="848" ht="14.25" customHeight="1">
      <c r="D848" s="44"/>
      <c r="E848" s="43"/>
      <c r="F848" s="43"/>
      <c r="G848" s="43"/>
    </row>
    <row r="849" ht="14.25" customHeight="1">
      <c r="D849" s="44"/>
      <c r="E849" s="43"/>
      <c r="F849" s="43"/>
      <c r="G849" s="43"/>
    </row>
    <row r="850" ht="14.25" customHeight="1">
      <c r="D850" s="44"/>
      <c r="E850" s="43"/>
      <c r="F850" s="43"/>
      <c r="G850" s="43"/>
    </row>
    <row r="851" ht="14.25" customHeight="1">
      <c r="D851" s="44"/>
      <c r="E851" s="43"/>
      <c r="F851" s="43"/>
      <c r="G851" s="43"/>
    </row>
    <row r="852" ht="14.25" customHeight="1">
      <c r="D852" s="44"/>
      <c r="E852" s="43"/>
      <c r="F852" s="43"/>
      <c r="G852" s="43"/>
    </row>
    <row r="853" ht="14.25" customHeight="1">
      <c r="D853" s="44"/>
      <c r="E853" s="43"/>
      <c r="F853" s="43"/>
      <c r="G853" s="43"/>
    </row>
    <row r="854" ht="14.25" customHeight="1">
      <c r="D854" s="44"/>
      <c r="E854" s="43"/>
      <c r="F854" s="43"/>
      <c r="G854" s="43"/>
    </row>
    <row r="855" ht="14.25" customHeight="1">
      <c r="D855" s="44"/>
      <c r="E855" s="43"/>
      <c r="F855" s="43"/>
      <c r="G855" s="43"/>
    </row>
    <row r="856" ht="14.25" customHeight="1">
      <c r="D856" s="44"/>
      <c r="E856" s="43"/>
      <c r="F856" s="43"/>
      <c r="G856" s="43"/>
    </row>
    <row r="857" ht="14.25" customHeight="1">
      <c r="D857" s="44"/>
      <c r="E857" s="43"/>
      <c r="F857" s="43"/>
      <c r="G857" s="43"/>
    </row>
    <row r="858" ht="14.25" customHeight="1">
      <c r="D858" s="44"/>
      <c r="E858" s="43"/>
      <c r="F858" s="43"/>
      <c r="G858" s="43"/>
    </row>
    <row r="859" ht="14.25" customHeight="1">
      <c r="D859" s="44"/>
      <c r="E859" s="43"/>
      <c r="F859" s="43"/>
      <c r="G859" s="43"/>
    </row>
    <row r="860" ht="14.25" customHeight="1">
      <c r="D860" s="44"/>
      <c r="E860" s="43"/>
      <c r="F860" s="43"/>
      <c r="G860" s="43"/>
    </row>
    <row r="861" ht="14.25" customHeight="1">
      <c r="D861" s="44"/>
      <c r="E861" s="43"/>
      <c r="F861" s="43"/>
      <c r="G861" s="43"/>
    </row>
    <row r="862" ht="14.25" customHeight="1">
      <c r="D862" s="44"/>
      <c r="E862" s="43"/>
      <c r="F862" s="43"/>
      <c r="G862" s="43"/>
    </row>
    <row r="863" ht="14.25" customHeight="1">
      <c r="D863" s="44"/>
      <c r="E863" s="43"/>
      <c r="F863" s="43"/>
      <c r="G863" s="43"/>
    </row>
    <row r="864" ht="14.25" customHeight="1">
      <c r="D864" s="44"/>
      <c r="E864" s="43"/>
      <c r="F864" s="43"/>
      <c r="G864" s="43"/>
    </row>
    <row r="865" ht="14.25" customHeight="1">
      <c r="D865" s="44"/>
      <c r="E865" s="43"/>
      <c r="F865" s="43"/>
      <c r="G865" s="43"/>
    </row>
    <row r="866" ht="14.25" customHeight="1">
      <c r="D866" s="44"/>
      <c r="E866" s="43"/>
      <c r="F866" s="43"/>
      <c r="G866" s="43"/>
    </row>
    <row r="867" ht="14.25" customHeight="1">
      <c r="D867" s="44"/>
      <c r="E867" s="43"/>
      <c r="F867" s="43"/>
      <c r="G867" s="43"/>
    </row>
    <row r="868" ht="14.25" customHeight="1">
      <c r="D868" s="44"/>
      <c r="E868" s="43"/>
      <c r="F868" s="43"/>
      <c r="G868" s="43"/>
    </row>
    <row r="869" ht="14.25" customHeight="1">
      <c r="D869" s="44"/>
      <c r="E869" s="43"/>
      <c r="F869" s="43"/>
      <c r="G869" s="43"/>
    </row>
    <row r="870" ht="14.25" customHeight="1">
      <c r="D870" s="44"/>
      <c r="E870" s="43"/>
      <c r="F870" s="43"/>
      <c r="G870" s="43"/>
    </row>
    <row r="871" ht="14.25" customHeight="1">
      <c r="D871" s="44"/>
      <c r="E871" s="43"/>
      <c r="F871" s="43"/>
      <c r="G871" s="43"/>
    </row>
    <row r="872" ht="14.25" customHeight="1">
      <c r="D872" s="44"/>
      <c r="E872" s="43"/>
      <c r="F872" s="43"/>
      <c r="G872" s="43"/>
    </row>
    <row r="873" ht="14.25" customHeight="1">
      <c r="D873" s="44"/>
      <c r="E873" s="43"/>
      <c r="F873" s="43"/>
      <c r="G873" s="43"/>
    </row>
    <row r="874" ht="14.25" customHeight="1">
      <c r="D874" s="44"/>
      <c r="E874" s="43"/>
      <c r="F874" s="43"/>
      <c r="G874" s="43"/>
    </row>
    <row r="875" ht="14.25" customHeight="1">
      <c r="D875" s="44"/>
      <c r="E875" s="43"/>
      <c r="F875" s="43"/>
      <c r="G875" s="43"/>
    </row>
    <row r="876" ht="14.25" customHeight="1">
      <c r="D876" s="44"/>
      <c r="E876" s="43"/>
      <c r="F876" s="43"/>
      <c r="G876" s="43"/>
    </row>
    <row r="877" ht="14.25" customHeight="1">
      <c r="D877" s="44"/>
      <c r="E877" s="43"/>
      <c r="F877" s="43"/>
      <c r="G877" s="43"/>
    </row>
    <row r="878" ht="14.25" customHeight="1">
      <c r="D878" s="44"/>
      <c r="E878" s="43"/>
      <c r="F878" s="43"/>
      <c r="G878" s="43"/>
    </row>
    <row r="879" ht="14.25" customHeight="1">
      <c r="D879" s="44"/>
      <c r="E879" s="43"/>
      <c r="F879" s="43"/>
      <c r="G879" s="43"/>
    </row>
    <row r="880" ht="14.25" customHeight="1">
      <c r="D880" s="44"/>
      <c r="E880" s="43"/>
      <c r="F880" s="43"/>
      <c r="G880" s="43"/>
    </row>
    <row r="881" ht="14.25" customHeight="1">
      <c r="D881" s="44"/>
      <c r="E881" s="43"/>
      <c r="F881" s="43"/>
      <c r="G881" s="43"/>
    </row>
    <row r="882" ht="14.25" customHeight="1">
      <c r="D882" s="44"/>
      <c r="E882" s="43"/>
      <c r="F882" s="43"/>
      <c r="G882" s="43"/>
    </row>
    <row r="883" ht="14.25" customHeight="1">
      <c r="D883" s="44"/>
      <c r="E883" s="43"/>
      <c r="F883" s="43"/>
      <c r="G883" s="43"/>
    </row>
    <row r="884" ht="14.25" customHeight="1">
      <c r="D884" s="44"/>
      <c r="E884" s="43"/>
      <c r="F884" s="43"/>
      <c r="G884" s="43"/>
    </row>
    <row r="885" ht="14.25" customHeight="1">
      <c r="D885" s="44"/>
      <c r="E885" s="43"/>
      <c r="F885" s="43"/>
      <c r="G885" s="43"/>
    </row>
    <row r="886" ht="14.25" customHeight="1">
      <c r="D886" s="44"/>
      <c r="E886" s="43"/>
      <c r="F886" s="43"/>
      <c r="G886" s="43"/>
    </row>
    <row r="887" ht="14.25" customHeight="1">
      <c r="D887" s="44"/>
      <c r="E887" s="43"/>
      <c r="F887" s="43"/>
      <c r="G887" s="43"/>
    </row>
    <row r="888" ht="14.25" customHeight="1">
      <c r="D888" s="44"/>
      <c r="E888" s="43"/>
      <c r="F888" s="43"/>
      <c r="G888" s="43"/>
    </row>
    <row r="889" ht="14.25" customHeight="1">
      <c r="D889" s="44"/>
      <c r="E889" s="43"/>
      <c r="F889" s="43"/>
      <c r="G889" s="43"/>
    </row>
    <row r="890" ht="14.25" customHeight="1">
      <c r="D890" s="44"/>
      <c r="E890" s="43"/>
      <c r="F890" s="43"/>
      <c r="G890" s="43"/>
    </row>
    <row r="891" ht="14.25" customHeight="1">
      <c r="D891" s="44"/>
      <c r="E891" s="43"/>
      <c r="F891" s="43"/>
      <c r="G891" s="43"/>
    </row>
    <row r="892" ht="14.25" customHeight="1">
      <c r="D892" s="44"/>
      <c r="E892" s="43"/>
      <c r="F892" s="43"/>
      <c r="G892" s="43"/>
    </row>
    <row r="893" ht="14.25" customHeight="1">
      <c r="D893" s="44"/>
      <c r="E893" s="43"/>
      <c r="F893" s="43"/>
      <c r="G893" s="43"/>
    </row>
    <row r="894" ht="14.25" customHeight="1">
      <c r="D894" s="44"/>
      <c r="E894" s="43"/>
      <c r="F894" s="43"/>
      <c r="G894" s="43"/>
    </row>
    <row r="895" ht="14.25" customHeight="1">
      <c r="D895" s="44"/>
      <c r="E895" s="43"/>
      <c r="F895" s="43"/>
      <c r="G895" s="43"/>
    </row>
    <row r="896" ht="14.25" customHeight="1">
      <c r="D896" s="44"/>
      <c r="E896" s="43"/>
      <c r="F896" s="43"/>
      <c r="G896" s="43"/>
    </row>
    <row r="897" ht="14.25" customHeight="1">
      <c r="D897" s="44"/>
      <c r="E897" s="43"/>
      <c r="F897" s="43"/>
      <c r="G897" s="43"/>
    </row>
    <row r="898" ht="14.25" customHeight="1">
      <c r="D898" s="44"/>
      <c r="E898" s="43"/>
      <c r="F898" s="43"/>
      <c r="G898" s="43"/>
    </row>
    <row r="899" ht="14.25" customHeight="1">
      <c r="D899" s="44"/>
      <c r="E899" s="43"/>
      <c r="F899" s="43"/>
      <c r="G899" s="43"/>
    </row>
    <row r="900" ht="14.25" customHeight="1">
      <c r="D900" s="44"/>
      <c r="E900" s="43"/>
      <c r="F900" s="43"/>
      <c r="G900" s="43"/>
    </row>
    <row r="901" ht="14.25" customHeight="1">
      <c r="D901" s="44"/>
      <c r="E901" s="43"/>
      <c r="F901" s="43"/>
      <c r="G901" s="43"/>
    </row>
    <row r="902" ht="14.25" customHeight="1">
      <c r="D902" s="44"/>
      <c r="E902" s="43"/>
      <c r="F902" s="43"/>
      <c r="G902" s="43"/>
    </row>
    <row r="903" ht="14.25" customHeight="1">
      <c r="D903" s="44"/>
      <c r="E903" s="43"/>
      <c r="F903" s="43"/>
      <c r="G903" s="43"/>
    </row>
    <row r="904" ht="14.25" customHeight="1">
      <c r="D904" s="44"/>
      <c r="E904" s="43"/>
      <c r="F904" s="43"/>
      <c r="G904" s="43"/>
    </row>
    <row r="905" ht="14.25" customHeight="1">
      <c r="D905" s="44"/>
      <c r="E905" s="43"/>
      <c r="F905" s="43"/>
      <c r="G905" s="43"/>
    </row>
    <row r="906" ht="14.25" customHeight="1">
      <c r="D906" s="44"/>
      <c r="E906" s="43"/>
      <c r="F906" s="43"/>
      <c r="G906" s="43"/>
    </row>
    <row r="907" ht="14.25" customHeight="1">
      <c r="D907" s="44"/>
      <c r="E907" s="43"/>
      <c r="F907" s="43"/>
      <c r="G907" s="43"/>
    </row>
    <row r="908" ht="14.25" customHeight="1">
      <c r="D908" s="44"/>
      <c r="E908" s="43"/>
      <c r="F908" s="43"/>
      <c r="G908" s="43"/>
    </row>
    <row r="909" ht="14.25" customHeight="1">
      <c r="D909" s="44"/>
      <c r="E909" s="43"/>
      <c r="F909" s="43"/>
      <c r="G909" s="43"/>
    </row>
    <row r="910" ht="14.25" customHeight="1">
      <c r="D910" s="44"/>
      <c r="E910" s="43"/>
      <c r="F910" s="43"/>
      <c r="G910" s="43"/>
    </row>
    <row r="911" ht="14.25" customHeight="1">
      <c r="D911" s="44"/>
      <c r="E911" s="43"/>
      <c r="F911" s="43"/>
      <c r="G911" s="43"/>
    </row>
    <row r="912" ht="14.25" customHeight="1">
      <c r="D912" s="44"/>
      <c r="E912" s="43"/>
      <c r="F912" s="43"/>
      <c r="G912" s="43"/>
    </row>
    <row r="913" ht="14.25" customHeight="1">
      <c r="D913" s="44"/>
      <c r="E913" s="43"/>
      <c r="F913" s="43"/>
      <c r="G913" s="43"/>
    </row>
    <row r="914" ht="14.25" customHeight="1">
      <c r="D914" s="44"/>
      <c r="E914" s="43"/>
      <c r="F914" s="43"/>
      <c r="G914" s="43"/>
    </row>
    <row r="915" ht="14.25" customHeight="1">
      <c r="D915" s="44"/>
      <c r="E915" s="43"/>
      <c r="F915" s="43"/>
      <c r="G915" s="43"/>
    </row>
    <row r="916" ht="14.25" customHeight="1">
      <c r="D916" s="44"/>
      <c r="E916" s="43"/>
      <c r="F916" s="43"/>
      <c r="G916" s="43"/>
    </row>
    <row r="917" ht="14.25" customHeight="1">
      <c r="D917" s="44"/>
      <c r="E917" s="43"/>
      <c r="F917" s="43"/>
      <c r="G917" s="43"/>
    </row>
    <row r="918" ht="14.25" customHeight="1">
      <c r="D918" s="44"/>
      <c r="E918" s="43"/>
      <c r="F918" s="43"/>
      <c r="G918" s="43"/>
    </row>
    <row r="919" ht="14.25" customHeight="1">
      <c r="D919" s="44"/>
      <c r="E919" s="43"/>
      <c r="F919" s="43"/>
      <c r="G919" s="43"/>
    </row>
    <row r="920" ht="14.25" customHeight="1">
      <c r="D920" s="44"/>
      <c r="E920" s="43"/>
      <c r="F920" s="43"/>
      <c r="G920" s="43"/>
    </row>
    <row r="921" ht="14.25" customHeight="1">
      <c r="D921" s="44"/>
      <c r="E921" s="43"/>
      <c r="F921" s="43"/>
      <c r="G921" s="43"/>
    </row>
    <row r="922" ht="14.25" customHeight="1">
      <c r="D922" s="44"/>
      <c r="E922" s="43"/>
      <c r="F922" s="43"/>
      <c r="G922" s="43"/>
    </row>
    <row r="923" ht="14.25" customHeight="1">
      <c r="D923" s="44"/>
      <c r="E923" s="43"/>
      <c r="F923" s="43"/>
      <c r="G923" s="43"/>
    </row>
    <row r="924" ht="14.25" customHeight="1">
      <c r="D924" s="44"/>
      <c r="E924" s="43"/>
      <c r="F924" s="43"/>
      <c r="G924" s="43"/>
    </row>
    <row r="925" ht="14.25" customHeight="1">
      <c r="D925" s="44"/>
      <c r="E925" s="43"/>
      <c r="F925" s="43"/>
      <c r="G925" s="43"/>
    </row>
    <row r="926" ht="14.25" customHeight="1">
      <c r="D926" s="44"/>
      <c r="E926" s="43"/>
      <c r="F926" s="43"/>
      <c r="G926" s="43"/>
    </row>
    <row r="927" ht="14.25" customHeight="1">
      <c r="D927" s="44"/>
      <c r="E927" s="43"/>
      <c r="F927" s="43"/>
      <c r="G927" s="43"/>
    </row>
    <row r="928" ht="14.25" customHeight="1">
      <c r="D928" s="44"/>
      <c r="E928" s="43"/>
      <c r="F928" s="43"/>
      <c r="G928" s="43"/>
    </row>
    <row r="929" ht="14.25" customHeight="1">
      <c r="D929" s="44"/>
      <c r="E929" s="43"/>
      <c r="F929" s="43"/>
      <c r="G929" s="43"/>
    </row>
    <row r="930" ht="14.25" customHeight="1">
      <c r="D930" s="44"/>
      <c r="E930" s="43"/>
      <c r="F930" s="43"/>
      <c r="G930" s="43"/>
    </row>
    <row r="931" ht="14.25" customHeight="1">
      <c r="D931" s="44"/>
      <c r="E931" s="43"/>
      <c r="F931" s="43"/>
      <c r="G931" s="43"/>
    </row>
    <row r="932" ht="14.25" customHeight="1">
      <c r="D932" s="44"/>
      <c r="E932" s="43"/>
      <c r="F932" s="43"/>
      <c r="G932" s="43"/>
    </row>
    <row r="933" ht="14.25" customHeight="1">
      <c r="D933" s="44"/>
      <c r="E933" s="43"/>
      <c r="F933" s="43"/>
      <c r="G933" s="43"/>
    </row>
    <row r="934" ht="14.25" customHeight="1">
      <c r="D934" s="44"/>
      <c r="E934" s="43"/>
      <c r="F934" s="43"/>
      <c r="G934" s="43"/>
    </row>
    <row r="935" ht="14.25" customHeight="1">
      <c r="D935" s="44"/>
      <c r="E935" s="43"/>
      <c r="F935" s="43"/>
      <c r="G935" s="43"/>
    </row>
    <row r="936" ht="14.25" customHeight="1">
      <c r="D936" s="44"/>
      <c r="E936" s="43"/>
      <c r="F936" s="43"/>
      <c r="G936" s="43"/>
    </row>
    <row r="937" ht="14.25" customHeight="1">
      <c r="D937" s="44"/>
      <c r="E937" s="43"/>
      <c r="F937" s="43"/>
      <c r="G937" s="43"/>
    </row>
    <row r="938" ht="14.25" customHeight="1">
      <c r="D938" s="44"/>
      <c r="E938" s="43"/>
      <c r="F938" s="43"/>
      <c r="G938" s="43"/>
    </row>
    <row r="939" ht="14.25" customHeight="1">
      <c r="D939" s="44"/>
      <c r="E939" s="43"/>
      <c r="F939" s="43"/>
      <c r="G939" s="43"/>
    </row>
    <row r="940" ht="14.25" customHeight="1">
      <c r="D940" s="44"/>
      <c r="E940" s="43"/>
      <c r="F940" s="43"/>
      <c r="G940" s="43"/>
    </row>
    <row r="941" ht="14.25" customHeight="1">
      <c r="D941" s="44"/>
      <c r="E941" s="43"/>
      <c r="F941" s="43"/>
      <c r="G941" s="43"/>
    </row>
    <row r="942" ht="14.25" customHeight="1">
      <c r="D942" s="44"/>
      <c r="E942" s="43"/>
      <c r="F942" s="43"/>
      <c r="G942" s="43"/>
    </row>
    <row r="943" ht="14.25" customHeight="1">
      <c r="D943" s="44"/>
      <c r="E943" s="43"/>
      <c r="F943" s="43"/>
      <c r="G943" s="43"/>
    </row>
    <row r="944" ht="14.25" customHeight="1">
      <c r="D944" s="44"/>
      <c r="E944" s="43"/>
      <c r="F944" s="43"/>
      <c r="G944" s="43"/>
    </row>
    <row r="945" ht="14.25" customHeight="1">
      <c r="D945" s="44"/>
      <c r="E945" s="43"/>
      <c r="F945" s="43"/>
      <c r="G945" s="43"/>
    </row>
    <row r="946" ht="14.25" customHeight="1">
      <c r="D946" s="44"/>
      <c r="E946" s="43"/>
      <c r="F946" s="43"/>
      <c r="G946" s="43"/>
    </row>
    <row r="947" ht="14.25" customHeight="1">
      <c r="D947" s="44"/>
      <c r="E947" s="43"/>
      <c r="F947" s="43"/>
      <c r="G947" s="43"/>
    </row>
    <row r="948" ht="14.25" customHeight="1">
      <c r="D948" s="44"/>
      <c r="E948" s="43"/>
      <c r="F948" s="43"/>
      <c r="G948" s="43"/>
    </row>
    <row r="949" ht="14.25" customHeight="1">
      <c r="D949" s="44"/>
      <c r="E949" s="43"/>
      <c r="F949" s="43"/>
      <c r="G949" s="43"/>
    </row>
    <row r="950" ht="14.25" customHeight="1">
      <c r="D950" s="44"/>
      <c r="E950" s="43"/>
      <c r="F950" s="43"/>
      <c r="G950" s="43"/>
    </row>
    <row r="951" ht="14.25" customHeight="1">
      <c r="D951" s="44"/>
      <c r="E951" s="43"/>
      <c r="F951" s="43"/>
      <c r="G951" s="43"/>
    </row>
    <row r="952" ht="14.25" customHeight="1">
      <c r="D952" s="44"/>
      <c r="E952" s="43"/>
      <c r="F952" s="43"/>
      <c r="G952" s="43"/>
    </row>
    <row r="953" ht="14.25" customHeight="1">
      <c r="D953" s="44"/>
      <c r="E953" s="43"/>
      <c r="F953" s="43"/>
      <c r="G953" s="43"/>
    </row>
    <row r="954" ht="14.25" customHeight="1">
      <c r="D954" s="44"/>
      <c r="E954" s="43"/>
      <c r="F954" s="43"/>
      <c r="G954" s="43"/>
    </row>
    <row r="955" ht="14.25" customHeight="1">
      <c r="D955" s="44"/>
      <c r="E955" s="43"/>
      <c r="F955" s="43"/>
      <c r="G955" s="43"/>
    </row>
    <row r="956" ht="14.25" customHeight="1">
      <c r="D956" s="44"/>
      <c r="E956" s="43"/>
      <c r="F956" s="43"/>
      <c r="G956" s="43"/>
    </row>
    <row r="957" ht="14.25" customHeight="1">
      <c r="D957" s="44"/>
      <c r="E957" s="43"/>
      <c r="F957" s="43"/>
      <c r="G957" s="43"/>
    </row>
    <row r="958" ht="14.25" customHeight="1">
      <c r="D958" s="44"/>
      <c r="E958" s="43"/>
      <c r="F958" s="43"/>
      <c r="G958" s="43"/>
    </row>
    <row r="959" ht="14.25" customHeight="1">
      <c r="D959" s="44"/>
      <c r="E959" s="43"/>
      <c r="F959" s="43"/>
      <c r="G959" s="43"/>
    </row>
    <row r="960" ht="14.25" customHeight="1">
      <c r="D960" s="44"/>
      <c r="E960" s="43"/>
      <c r="F960" s="43"/>
      <c r="G960" s="43"/>
    </row>
    <row r="961" ht="14.25" customHeight="1">
      <c r="D961" s="44"/>
      <c r="E961" s="43"/>
      <c r="F961" s="43"/>
      <c r="G961" s="43"/>
    </row>
    <row r="962" ht="14.25" customHeight="1">
      <c r="D962" s="44"/>
      <c r="E962" s="43"/>
      <c r="F962" s="43"/>
      <c r="G962" s="43"/>
    </row>
    <row r="963" ht="14.25" customHeight="1">
      <c r="D963" s="44"/>
      <c r="E963" s="43"/>
      <c r="F963" s="43"/>
      <c r="G963" s="43"/>
    </row>
    <row r="964" ht="14.25" customHeight="1">
      <c r="D964" s="44"/>
      <c r="E964" s="43"/>
      <c r="F964" s="43"/>
      <c r="G964" s="43"/>
    </row>
    <row r="965" ht="14.25" customHeight="1">
      <c r="D965" s="44"/>
      <c r="E965" s="43"/>
      <c r="F965" s="43"/>
      <c r="G965" s="43"/>
    </row>
    <row r="966" ht="14.25" customHeight="1">
      <c r="D966" s="44"/>
      <c r="E966" s="43"/>
      <c r="F966" s="43"/>
      <c r="G966" s="43"/>
    </row>
    <row r="967" ht="14.25" customHeight="1">
      <c r="D967" s="44"/>
      <c r="E967" s="43"/>
      <c r="F967" s="43"/>
      <c r="G967" s="43"/>
    </row>
    <row r="968" ht="14.25" customHeight="1">
      <c r="D968" s="44"/>
      <c r="E968" s="43"/>
      <c r="F968" s="43"/>
      <c r="G968" s="43"/>
    </row>
    <row r="969" ht="14.25" customHeight="1">
      <c r="D969" s="44"/>
      <c r="E969" s="43"/>
      <c r="F969" s="43"/>
      <c r="G969" s="43"/>
    </row>
    <row r="970" ht="14.25" customHeight="1">
      <c r="D970" s="44"/>
      <c r="E970" s="43"/>
      <c r="F970" s="43"/>
      <c r="G970" s="43"/>
    </row>
    <row r="971" ht="14.25" customHeight="1">
      <c r="D971" s="44"/>
      <c r="E971" s="43"/>
      <c r="F971" s="43"/>
      <c r="G971" s="43"/>
    </row>
    <row r="972" ht="14.25" customHeight="1">
      <c r="D972" s="44"/>
      <c r="E972" s="43"/>
      <c r="F972" s="43"/>
      <c r="G972" s="43"/>
    </row>
    <row r="973" ht="14.25" customHeight="1">
      <c r="D973" s="44"/>
      <c r="E973" s="43"/>
      <c r="F973" s="43"/>
      <c r="G973" s="43"/>
    </row>
    <row r="974" ht="14.25" customHeight="1">
      <c r="D974" s="44"/>
      <c r="E974" s="43"/>
      <c r="F974" s="43"/>
      <c r="G974" s="43"/>
    </row>
    <row r="975" ht="14.25" customHeight="1">
      <c r="D975" s="44"/>
      <c r="E975" s="43"/>
      <c r="F975" s="43"/>
      <c r="G975" s="43"/>
    </row>
    <row r="976" ht="14.25" customHeight="1">
      <c r="D976" s="44"/>
      <c r="E976" s="43"/>
      <c r="F976" s="43"/>
      <c r="G976" s="43"/>
    </row>
    <row r="977" ht="14.25" customHeight="1">
      <c r="D977" s="44"/>
      <c r="E977" s="43"/>
      <c r="F977" s="43"/>
      <c r="G977" s="43"/>
    </row>
    <row r="978" ht="14.25" customHeight="1">
      <c r="D978" s="44"/>
      <c r="E978" s="43"/>
      <c r="F978" s="43"/>
      <c r="G978" s="43"/>
    </row>
    <row r="979" ht="14.25" customHeight="1">
      <c r="D979" s="44"/>
      <c r="E979" s="43"/>
      <c r="F979" s="43"/>
      <c r="G979" s="43"/>
    </row>
    <row r="980" ht="14.25" customHeight="1">
      <c r="D980" s="44"/>
      <c r="E980" s="43"/>
      <c r="F980" s="43"/>
      <c r="G980" s="43"/>
    </row>
    <row r="981" ht="14.25" customHeight="1">
      <c r="D981" s="44"/>
      <c r="E981" s="43"/>
      <c r="F981" s="43"/>
      <c r="G981" s="43"/>
    </row>
    <row r="982" ht="14.25" customHeight="1">
      <c r="D982" s="44"/>
      <c r="E982" s="43"/>
      <c r="F982" s="43"/>
      <c r="G982" s="43"/>
    </row>
    <row r="983" ht="14.25" customHeight="1">
      <c r="D983" s="44"/>
      <c r="E983" s="43"/>
      <c r="F983" s="43"/>
      <c r="G983" s="43"/>
    </row>
    <row r="984" ht="14.25" customHeight="1">
      <c r="D984" s="44"/>
      <c r="E984" s="43"/>
      <c r="F984" s="43"/>
      <c r="G984" s="43"/>
    </row>
    <row r="985" ht="14.25" customHeight="1">
      <c r="D985" s="44"/>
      <c r="E985" s="43"/>
      <c r="F985" s="43"/>
      <c r="G985" s="43"/>
    </row>
    <row r="986" ht="14.25" customHeight="1">
      <c r="D986" s="44"/>
      <c r="E986" s="43"/>
      <c r="F986" s="43"/>
      <c r="G986" s="43"/>
    </row>
    <row r="987" ht="14.25" customHeight="1">
      <c r="D987" s="44"/>
      <c r="E987" s="43"/>
      <c r="F987" s="43"/>
      <c r="G987" s="43"/>
    </row>
    <row r="988" ht="14.25" customHeight="1">
      <c r="D988" s="44"/>
      <c r="E988" s="43"/>
      <c r="F988" s="43"/>
      <c r="G988" s="43"/>
    </row>
    <row r="989" ht="14.25" customHeight="1">
      <c r="D989" s="44"/>
      <c r="E989" s="43"/>
      <c r="F989" s="43"/>
      <c r="G989" s="43"/>
    </row>
    <row r="990" ht="14.25" customHeight="1">
      <c r="D990" s="44"/>
      <c r="E990" s="43"/>
      <c r="F990" s="43"/>
      <c r="G990" s="43"/>
    </row>
    <row r="991" ht="14.25" customHeight="1">
      <c r="D991" s="44"/>
      <c r="E991" s="43"/>
      <c r="F991" s="43"/>
      <c r="G991" s="43"/>
    </row>
    <row r="992" ht="14.25" customHeight="1">
      <c r="D992" s="44"/>
      <c r="E992" s="43"/>
      <c r="F992" s="43"/>
      <c r="G992" s="43"/>
    </row>
    <row r="993" ht="14.25" customHeight="1">
      <c r="D993" s="44"/>
      <c r="E993" s="43"/>
      <c r="F993" s="43"/>
      <c r="G993" s="43"/>
    </row>
    <row r="994" ht="14.25" customHeight="1">
      <c r="D994" s="44"/>
      <c r="E994" s="43"/>
      <c r="F994" s="43"/>
      <c r="G994" s="43"/>
    </row>
    <row r="995" ht="14.25" customHeight="1">
      <c r="D995" s="44"/>
      <c r="E995" s="43"/>
      <c r="F995" s="43"/>
      <c r="G995" s="43"/>
    </row>
    <row r="996" ht="14.25" customHeight="1">
      <c r="D996" s="44"/>
      <c r="E996" s="43"/>
      <c r="F996" s="43"/>
      <c r="G996" s="43"/>
    </row>
    <row r="997" ht="14.25" customHeight="1">
      <c r="D997" s="44"/>
      <c r="E997" s="43"/>
      <c r="F997" s="43"/>
      <c r="G997" s="43"/>
    </row>
    <row r="998" ht="14.25" customHeight="1">
      <c r="D998" s="44"/>
      <c r="E998" s="43"/>
      <c r="F998" s="43"/>
      <c r="G998" s="43"/>
    </row>
    <row r="999" ht="14.25" customHeight="1">
      <c r="D999" s="44"/>
      <c r="E999" s="43"/>
      <c r="F999" s="43"/>
      <c r="G999" s="43"/>
    </row>
    <row r="1000" ht="14.25" customHeight="1">
      <c r="D1000" s="44"/>
      <c r="E1000" s="43"/>
      <c r="F1000" s="43"/>
      <c r="G1000" s="43"/>
    </row>
    <row r="1001" ht="14.25" customHeight="1">
      <c r="D1001" s="44"/>
      <c r="E1001" s="43"/>
      <c r="F1001" s="43"/>
      <c r="G1001" s="43"/>
    </row>
    <row r="1002" ht="14.25" customHeight="1">
      <c r="D1002" s="44"/>
      <c r="E1002" s="43"/>
      <c r="F1002" s="43"/>
      <c r="G1002" s="43"/>
    </row>
    <row r="1003" ht="14.25" customHeight="1">
      <c r="D1003" s="44"/>
      <c r="E1003" s="43"/>
      <c r="F1003" s="43"/>
      <c r="G1003" s="43"/>
    </row>
    <row r="1004" ht="14.25" customHeight="1">
      <c r="D1004" s="44"/>
      <c r="E1004" s="43"/>
      <c r="F1004" s="43"/>
      <c r="G1004" s="43"/>
    </row>
    <row r="1005" ht="14.25" customHeight="1">
      <c r="D1005" s="44"/>
      <c r="E1005" s="43"/>
      <c r="F1005" s="43"/>
      <c r="G1005" s="43"/>
    </row>
    <row r="1006" ht="14.25" customHeight="1">
      <c r="D1006" s="44"/>
      <c r="E1006" s="43"/>
      <c r="F1006" s="43"/>
      <c r="G1006" s="43"/>
    </row>
    <row r="1007" ht="14.25" customHeight="1">
      <c r="D1007" s="44"/>
      <c r="E1007" s="43"/>
      <c r="F1007" s="43"/>
      <c r="G1007" s="43"/>
    </row>
    <row r="1008" ht="14.25" customHeight="1">
      <c r="D1008" s="44"/>
      <c r="E1008" s="43"/>
      <c r="F1008" s="43"/>
      <c r="G1008" s="43"/>
    </row>
    <row r="1009" ht="14.25" customHeight="1">
      <c r="D1009" s="44"/>
      <c r="E1009" s="43"/>
      <c r="F1009" s="43"/>
      <c r="G1009" s="43"/>
    </row>
    <row r="1010" ht="14.25" customHeight="1">
      <c r="D1010" s="44"/>
      <c r="E1010" s="43"/>
      <c r="F1010" s="43"/>
      <c r="G1010" s="43"/>
    </row>
    <row r="1011" ht="14.25" customHeight="1">
      <c r="D1011" s="44"/>
      <c r="E1011" s="43"/>
      <c r="F1011" s="43"/>
      <c r="G1011" s="43"/>
    </row>
    <row r="1012" ht="14.25" customHeight="1">
      <c r="D1012" s="44"/>
      <c r="E1012" s="43"/>
      <c r="F1012" s="43"/>
      <c r="G1012" s="43"/>
    </row>
    <row r="1013" ht="14.25" customHeight="1">
      <c r="D1013" s="44"/>
      <c r="E1013" s="43"/>
      <c r="F1013" s="43"/>
      <c r="G1013" s="43"/>
    </row>
    <row r="1014" ht="14.25" customHeight="1">
      <c r="D1014" s="44"/>
      <c r="E1014" s="43"/>
      <c r="F1014" s="43"/>
      <c r="G1014" s="43"/>
    </row>
    <row r="1015" ht="14.25" customHeight="1">
      <c r="D1015" s="44"/>
      <c r="E1015" s="43"/>
      <c r="F1015" s="43"/>
      <c r="G1015" s="43"/>
    </row>
    <row r="1016" ht="14.25" customHeight="1">
      <c r="D1016" s="44"/>
      <c r="E1016" s="43"/>
      <c r="F1016" s="43"/>
      <c r="G1016" s="43"/>
    </row>
    <row r="1017" ht="14.25" customHeight="1">
      <c r="D1017" s="44"/>
      <c r="E1017" s="43"/>
      <c r="F1017" s="43"/>
      <c r="G1017" s="43"/>
    </row>
    <row r="1018" ht="14.25" customHeight="1">
      <c r="D1018" s="44"/>
      <c r="E1018" s="43"/>
      <c r="F1018" s="43"/>
      <c r="G1018" s="43"/>
    </row>
    <row r="1019" ht="14.25" customHeight="1">
      <c r="D1019" s="44"/>
      <c r="E1019" s="43"/>
      <c r="F1019" s="43"/>
      <c r="G1019" s="43"/>
    </row>
    <row r="1020" ht="14.25" customHeight="1">
      <c r="D1020" s="44"/>
      <c r="E1020" s="43"/>
      <c r="F1020" s="43"/>
      <c r="G1020" s="43"/>
    </row>
    <row r="1021" ht="14.25" customHeight="1">
      <c r="D1021" s="44"/>
      <c r="E1021" s="43"/>
      <c r="F1021" s="43"/>
      <c r="G1021" s="43"/>
    </row>
    <row r="1022" ht="14.25" customHeight="1">
      <c r="D1022" s="44"/>
      <c r="E1022" s="43"/>
      <c r="F1022" s="43"/>
      <c r="G1022" s="43"/>
    </row>
    <row r="1023" ht="14.25" customHeight="1">
      <c r="D1023" s="44"/>
      <c r="E1023" s="43"/>
      <c r="F1023" s="43"/>
      <c r="G1023" s="43"/>
    </row>
    <row r="1024" ht="14.25" customHeight="1">
      <c r="D1024" s="44"/>
      <c r="E1024" s="43"/>
      <c r="F1024" s="43"/>
      <c r="G1024" s="43"/>
    </row>
    <row r="1025" ht="14.25" customHeight="1">
      <c r="D1025" s="44"/>
      <c r="E1025" s="43"/>
      <c r="F1025" s="43"/>
      <c r="G1025" s="43"/>
    </row>
    <row r="1026" ht="14.25" customHeight="1">
      <c r="D1026" s="44"/>
      <c r="E1026" s="43"/>
      <c r="F1026" s="43"/>
      <c r="G1026" s="43"/>
    </row>
    <row r="1027" ht="14.25" customHeight="1">
      <c r="D1027" s="44"/>
      <c r="E1027" s="43"/>
      <c r="F1027" s="43"/>
      <c r="G1027" s="43"/>
    </row>
    <row r="1028" ht="14.25" customHeight="1">
      <c r="D1028" s="44"/>
      <c r="E1028" s="43"/>
      <c r="F1028" s="43"/>
      <c r="G1028" s="43"/>
    </row>
    <row r="1029" ht="14.25" customHeight="1">
      <c r="D1029" s="44"/>
      <c r="E1029" s="43"/>
      <c r="F1029" s="43"/>
      <c r="G1029" s="43"/>
    </row>
    <row r="1030" ht="14.25" customHeight="1">
      <c r="D1030" s="44"/>
      <c r="E1030" s="43"/>
      <c r="F1030" s="43"/>
      <c r="G1030" s="43"/>
    </row>
    <row r="1031" ht="14.25" customHeight="1">
      <c r="D1031" s="44"/>
      <c r="E1031" s="43"/>
      <c r="F1031" s="43"/>
      <c r="G1031" s="43"/>
    </row>
    <row r="1032" ht="14.25" customHeight="1">
      <c r="D1032" s="44"/>
      <c r="E1032" s="43"/>
      <c r="F1032" s="43"/>
      <c r="G1032" s="43"/>
    </row>
    <row r="1033" ht="14.25" customHeight="1">
      <c r="D1033" s="44"/>
      <c r="E1033" s="43"/>
      <c r="F1033" s="43"/>
      <c r="G1033" s="43"/>
    </row>
    <row r="1034" ht="14.25" customHeight="1">
      <c r="D1034" s="44"/>
      <c r="E1034" s="43"/>
      <c r="F1034" s="43"/>
      <c r="G1034" s="43"/>
    </row>
    <row r="1035" ht="14.25" customHeight="1">
      <c r="D1035" s="44"/>
      <c r="E1035" s="43"/>
      <c r="F1035" s="43"/>
      <c r="G1035" s="43"/>
    </row>
    <row r="1036" ht="14.25" customHeight="1">
      <c r="D1036" s="44"/>
      <c r="E1036" s="43"/>
      <c r="F1036" s="43"/>
      <c r="G1036" s="43"/>
    </row>
    <row r="1037" ht="14.25" customHeight="1">
      <c r="D1037" s="44"/>
      <c r="E1037" s="43"/>
      <c r="F1037" s="43"/>
      <c r="G1037" s="43"/>
    </row>
    <row r="1038" ht="14.25" customHeight="1">
      <c r="D1038" s="44"/>
      <c r="E1038" s="43"/>
      <c r="F1038" s="43"/>
      <c r="G1038" s="43"/>
    </row>
    <row r="1039" ht="14.25" customHeight="1">
      <c r="D1039" s="44"/>
      <c r="E1039" s="43"/>
      <c r="F1039" s="43"/>
      <c r="G1039" s="43"/>
    </row>
    <row r="1040" ht="14.25" customHeight="1">
      <c r="D1040" s="44"/>
      <c r="E1040" s="43"/>
      <c r="F1040" s="43"/>
      <c r="G1040" s="43"/>
    </row>
    <row r="1041" ht="14.25" customHeight="1">
      <c r="D1041" s="44"/>
      <c r="E1041" s="43"/>
      <c r="F1041" s="43"/>
      <c r="G1041" s="43"/>
    </row>
    <row r="1042" ht="14.25" customHeight="1">
      <c r="D1042" s="44"/>
      <c r="E1042" s="43"/>
      <c r="F1042" s="43"/>
      <c r="G1042" s="43"/>
    </row>
    <row r="1043" ht="14.25" customHeight="1">
      <c r="D1043" s="44"/>
      <c r="E1043" s="43"/>
      <c r="F1043" s="43"/>
      <c r="G1043" s="43"/>
    </row>
    <row r="1044" ht="14.25" customHeight="1">
      <c r="D1044" s="44"/>
      <c r="E1044" s="43"/>
      <c r="F1044" s="43"/>
      <c r="G1044" s="43"/>
    </row>
    <row r="1045" ht="14.25" customHeight="1">
      <c r="D1045" s="44"/>
      <c r="E1045" s="43"/>
      <c r="F1045" s="43"/>
      <c r="G1045" s="43"/>
    </row>
    <row r="1046" ht="14.25" customHeight="1">
      <c r="D1046" s="44"/>
      <c r="E1046" s="43"/>
      <c r="F1046" s="43"/>
      <c r="G1046" s="43"/>
    </row>
    <row r="1047" ht="14.25" customHeight="1">
      <c r="D1047" s="44"/>
      <c r="E1047" s="43"/>
      <c r="F1047" s="43"/>
      <c r="G1047" s="43"/>
    </row>
    <row r="1048" ht="14.25" customHeight="1">
      <c r="D1048" s="44"/>
      <c r="E1048" s="43"/>
      <c r="F1048" s="43"/>
      <c r="G1048" s="43"/>
    </row>
    <row r="1049" ht="14.25" customHeight="1">
      <c r="D1049" s="44"/>
      <c r="E1049" s="43"/>
      <c r="F1049" s="43"/>
      <c r="G1049" s="43"/>
    </row>
    <row r="1050" ht="14.25" customHeight="1">
      <c r="D1050" s="44"/>
      <c r="E1050" s="43"/>
      <c r="F1050" s="43"/>
      <c r="G1050" s="43"/>
    </row>
    <row r="1051" ht="14.25" customHeight="1">
      <c r="D1051" s="44"/>
      <c r="E1051" s="43"/>
      <c r="F1051" s="43"/>
      <c r="G1051" s="43"/>
    </row>
    <row r="1052" ht="14.25" customHeight="1">
      <c r="D1052" s="44"/>
      <c r="E1052" s="43"/>
      <c r="F1052" s="43"/>
      <c r="G1052" s="43"/>
    </row>
    <row r="1053" ht="14.25" customHeight="1">
      <c r="D1053" s="44"/>
      <c r="E1053" s="43"/>
      <c r="F1053" s="43"/>
      <c r="G1053" s="43"/>
    </row>
    <row r="1054" ht="14.25" customHeight="1">
      <c r="D1054" s="44"/>
      <c r="E1054" s="43"/>
      <c r="F1054" s="43"/>
      <c r="G1054" s="43"/>
    </row>
    <row r="1055" ht="14.25" customHeight="1">
      <c r="D1055" s="44"/>
      <c r="E1055" s="43"/>
      <c r="F1055" s="43"/>
      <c r="G1055" s="43"/>
    </row>
    <row r="1056" ht="14.25" customHeight="1">
      <c r="D1056" s="44"/>
      <c r="E1056" s="43"/>
      <c r="F1056" s="43"/>
      <c r="G1056" s="43"/>
    </row>
    <row r="1057" ht="14.25" customHeight="1">
      <c r="D1057" s="44"/>
      <c r="E1057" s="43"/>
      <c r="F1057" s="43"/>
      <c r="G1057" s="43"/>
    </row>
    <row r="1058" ht="14.25" customHeight="1">
      <c r="D1058" s="44"/>
      <c r="E1058" s="43"/>
      <c r="F1058" s="43"/>
      <c r="G1058" s="43"/>
    </row>
    <row r="1059" ht="14.25" customHeight="1">
      <c r="D1059" s="44"/>
      <c r="E1059" s="43"/>
      <c r="F1059" s="43"/>
      <c r="G1059" s="43"/>
    </row>
    <row r="1060" ht="14.25" customHeight="1">
      <c r="D1060" s="44"/>
      <c r="E1060" s="43"/>
      <c r="F1060" s="43"/>
      <c r="G1060" s="43"/>
    </row>
    <row r="1061" ht="14.25" customHeight="1">
      <c r="D1061" s="44"/>
      <c r="E1061" s="43"/>
      <c r="F1061" s="43"/>
      <c r="G1061" s="43"/>
    </row>
    <row r="1062" ht="14.25" customHeight="1">
      <c r="D1062" s="44"/>
      <c r="E1062" s="43"/>
      <c r="F1062" s="43"/>
      <c r="G1062" s="43"/>
    </row>
    <row r="1063" ht="14.25" customHeight="1">
      <c r="D1063" s="44"/>
      <c r="E1063" s="43"/>
      <c r="F1063" s="43"/>
      <c r="G1063" s="43"/>
    </row>
    <row r="1064" ht="14.25" customHeight="1">
      <c r="D1064" s="44"/>
      <c r="E1064" s="43"/>
      <c r="F1064" s="43"/>
      <c r="G1064" s="43"/>
    </row>
    <row r="1065" ht="14.25" customHeight="1">
      <c r="D1065" s="44"/>
      <c r="E1065" s="43"/>
      <c r="F1065" s="43"/>
      <c r="G1065" s="43"/>
    </row>
    <row r="1066" ht="14.25" customHeight="1">
      <c r="D1066" s="44"/>
      <c r="E1066" s="43"/>
      <c r="F1066" s="43"/>
      <c r="G1066" s="43"/>
    </row>
    <row r="1067" ht="14.25" customHeight="1">
      <c r="D1067" s="44"/>
      <c r="E1067" s="43"/>
      <c r="F1067" s="43"/>
      <c r="G1067" s="43"/>
    </row>
    <row r="1068" ht="14.25" customHeight="1">
      <c r="D1068" s="44"/>
      <c r="E1068" s="43"/>
      <c r="F1068" s="43"/>
      <c r="G1068" s="43"/>
    </row>
    <row r="1069" ht="14.25" customHeight="1">
      <c r="D1069" s="44"/>
      <c r="E1069" s="43"/>
      <c r="F1069" s="43"/>
      <c r="G1069" s="43"/>
    </row>
    <row r="1070" ht="14.25" customHeight="1">
      <c r="D1070" s="44"/>
      <c r="E1070" s="43"/>
      <c r="F1070" s="43"/>
      <c r="G1070" s="43"/>
    </row>
    <row r="1071" ht="14.25" customHeight="1">
      <c r="D1071" s="44"/>
      <c r="E1071" s="43"/>
      <c r="F1071" s="43"/>
      <c r="G1071" s="43"/>
    </row>
    <row r="1072" ht="14.25" customHeight="1">
      <c r="D1072" s="44"/>
      <c r="E1072" s="43"/>
      <c r="F1072" s="43"/>
      <c r="G1072" s="43"/>
    </row>
    <row r="1073" ht="14.25" customHeight="1">
      <c r="D1073" s="44"/>
      <c r="E1073" s="43"/>
      <c r="F1073" s="43"/>
      <c r="G1073" s="43"/>
    </row>
    <row r="1074" ht="14.25" customHeight="1">
      <c r="D1074" s="44"/>
      <c r="E1074" s="43"/>
      <c r="F1074" s="43"/>
      <c r="G1074" s="43"/>
    </row>
    <row r="1075" ht="14.25" customHeight="1">
      <c r="D1075" s="44"/>
      <c r="E1075" s="43"/>
      <c r="F1075" s="43"/>
      <c r="G1075" s="43"/>
    </row>
    <row r="1076" ht="14.25" customHeight="1">
      <c r="D1076" s="44"/>
      <c r="E1076" s="43"/>
      <c r="F1076" s="43"/>
      <c r="G1076" s="43"/>
    </row>
    <row r="1077" ht="14.25" customHeight="1">
      <c r="D1077" s="44"/>
      <c r="E1077" s="43"/>
      <c r="F1077" s="43"/>
      <c r="G1077" s="43"/>
    </row>
    <row r="1078" ht="14.25" customHeight="1">
      <c r="D1078" s="44"/>
      <c r="E1078" s="43"/>
      <c r="F1078" s="43"/>
      <c r="G1078" s="43"/>
    </row>
    <row r="1079" ht="14.25" customHeight="1">
      <c r="D1079" s="44"/>
      <c r="E1079" s="43"/>
      <c r="F1079" s="43"/>
      <c r="G1079" s="43"/>
    </row>
    <row r="1080" ht="14.25" customHeight="1">
      <c r="D1080" s="44"/>
      <c r="E1080" s="43"/>
      <c r="F1080" s="43"/>
      <c r="G1080" s="43"/>
    </row>
    <row r="1081" ht="14.25" customHeight="1">
      <c r="D1081" s="44"/>
      <c r="E1081" s="43"/>
      <c r="F1081" s="43"/>
      <c r="G1081" s="43"/>
    </row>
    <row r="1082" ht="14.25" customHeight="1">
      <c r="D1082" s="44"/>
      <c r="E1082" s="43"/>
      <c r="F1082" s="43"/>
      <c r="G1082" s="43"/>
    </row>
    <row r="1083" ht="14.25" customHeight="1">
      <c r="D1083" s="44"/>
      <c r="E1083" s="43"/>
      <c r="F1083" s="43"/>
      <c r="G1083" s="43"/>
    </row>
    <row r="1084" ht="14.25" customHeight="1">
      <c r="D1084" s="44"/>
      <c r="E1084" s="43"/>
      <c r="F1084" s="43"/>
      <c r="G1084" s="43"/>
    </row>
    <row r="1085" ht="14.25" customHeight="1">
      <c r="D1085" s="44"/>
      <c r="E1085" s="43"/>
      <c r="F1085" s="43"/>
      <c r="G1085" s="43"/>
    </row>
    <row r="1086" ht="14.25" customHeight="1">
      <c r="D1086" s="44"/>
      <c r="E1086" s="43"/>
      <c r="F1086" s="43"/>
      <c r="G1086" s="43"/>
    </row>
    <row r="1087" ht="14.25" customHeight="1">
      <c r="D1087" s="44"/>
      <c r="E1087" s="43"/>
      <c r="F1087" s="43"/>
      <c r="G1087" s="43"/>
    </row>
    <row r="1088" ht="14.25" customHeight="1">
      <c r="D1088" s="44"/>
      <c r="E1088" s="43"/>
      <c r="F1088" s="43"/>
      <c r="G1088" s="43"/>
    </row>
    <row r="1089" ht="14.25" customHeight="1">
      <c r="D1089" s="44"/>
      <c r="E1089" s="43"/>
      <c r="F1089" s="43"/>
      <c r="G1089" s="43"/>
    </row>
    <row r="1090" ht="14.25" customHeight="1">
      <c r="D1090" s="44"/>
      <c r="E1090" s="43"/>
      <c r="F1090" s="43"/>
      <c r="G1090" s="43"/>
    </row>
    <row r="1091" ht="14.25" customHeight="1">
      <c r="D1091" s="44"/>
      <c r="E1091" s="43"/>
      <c r="F1091" s="43"/>
      <c r="G1091" s="43"/>
    </row>
    <row r="1092" ht="14.25" customHeight="1">
      <c r="D1092" s="44"/>
      <c r="E1092" s="43"/>
      <c r="F1092" s="43"/>
      <c r="G1092" s="43"/>
    </row>
    <row r="1093" ht="14.25" customHeight="1">
      <c r="D1093" s="44"/>
      <c r="E1093" s="43"/>
      <c r="F1093" s="43"/>
      <c r="G1093" s="43"/>
    </row>
    <row r="1094" ht="14.25" customHeight="1">
      <c r="D1094" s="44"/>
      <c r="E1094" s="43"/>
      <c r="F1094" s="43"/>
      <c r="G1094" s="43"/>
    </row>
    <row r="1095" ht="14.25" customHeight="1">
      <c r="D1095" s="44"/>
      <c r="E1095" s="43"/>
      <c r="F1095" s="43"/>
      <c r="G1095" s="43"/>
    </row>
    <row r="1096" ht="14.25" customHeight="1">
      <c r="D1096" s="44"/>
      <c r="E1096" s="43"/>
      <c r="F1096" s="43"/>
      <c r="G1096" s="43"/>
    </row>
    <row r="1097" ht="14.25" customHeight="1">
      <c r="D1097" s="44"/>
      <c r="E1097" s="43"/>
      <c r="F1097" s="43"/>
      <c r="G1097" s="43"/>
    </row>
    <row r="1098" ht="14.25" customHeight="1">
      <c r="D1098" s="44"/>
      <c r="E1098" s="43"/>
      <c r="F1098" s="43"/>
      <c r="G1098" s="43"/>
    </row>
    <row r="1099" ht="14.25" customHeight="1">
      <c r="D1099" s="44"/>
      <c r="E1099" s="43"/>
      <c r="F1099" s="43"/>
      <c r="G1099" s="43"/>
    </row>
    <row r="1100" ht="14.25" customHeight="1">
      <c r="D1100" s="44"/>
      <c r="E1100" s="43"/>
      <c r="F1100" s="43"/>
      <c r="G1100" s="43"/>
    </row>
    <row r="1101" ht="14.25" customHeight="1">
      <c r="D1101" s="44"/>
      <c r="E1101" s="43"/>
      <c r="F1101" s="43"/>
      <c r="G1101" s="43"/>
    </row>
    <row r="1102" ht="14.25" customHeight="1">
      <c r="D1102" s="44"/>
      <c r="E1102" s="43"/>
      <c r="F1102" s="43"/>
      <c r="G1102" s="43"/>
    </row>
    <row r="1103" ht="14.25" customHeight="1">
      <c r="D1103" s="44"/>
      <c r="E1103" s="43"/>
      <c r="F1103" s="43"/>
      <c r="G1103" s="43"/>
    </row>
    <row r="1104" ht="14.25" customHeight="1">
      <c r="D1104" s="44"/>
      <c r="E1104" s="43"/>
      <c r="F1104" s="43"/>
      <c r="G1104" s="43"/>
    </row>
    <row r="1105" ht="14.25" customHeight="1">
      <c r="D1105" s="44"/>
      <c r="E1105" s="43"/>
      <c r="F1105" s="43"/>
      <c r="G1105" s="43"/>
    </row>
    <row r="1106" ht="14.25" customHeight="1">
      <c r="D1106" s="44"/>
      <c r="E1106" s="43"/>
      <c r="F1106" s="43"/>
      <c r="G1106" s="43"/>
    </row>
    <row r="1107" ht="14.25" customHeight="1">
      <c r="D1107" s="44"/>
      <c r="E1107" s="43"/>
      <c r="F1107" s="43"/>
      <c r="G1107" s="43"/>
    </row>
    <row r="1108" ht="14.25" customHeight="1">
      <c r="D1108" s="44"/>
      <c r="E1108" s="43"/>
      <c r="F1108" s="43"/>
      <c r="G1108" s="43"/>
    </row>
    <row r="1109" ht="14.25" customHeight="1">
      <c r="D1109" s="44"/>
      <c r="E1109" s="43"/>
      <c r="F1109" s="43"/>
      <c r="G1109" s="43"/>
    </row>
    <row r="1110" ht="14.25" customHeight="1">
      <c r="D1110" s="44"/>
      <c r="E1110" s="43"/>
      <c r="F1110" s="43"/>
      <c r="G1110" s="43"/>
    </row>
    <row r="1111" ht="14.25" customHeight="1">
      <c r="D1111" s="44"/>
      <c r="E1111" s="43"/>
      <c r="F1111" s="43"/>
      <c r="G1111" s="43"/>
    </row>
    <row r="1112" ht="14.25" customHeight="1">
      <c r="D1112" s="44"/>
      <c r="E1112" s="43"/>
      <c r="F1112" s="43"/>
      <c r="G1112" s="43"/>
    </row>
    <row r="1113" ht="14.25" customHeight="1">
      <c r="D1113" s="44"/>
      <c r="E1113" s="43"/>
      <c r="F1113" s="43"/>
      <c r="G1113" s="43"/>
    </row>
    <row r="1114" ht="14.25" customHeight="1">
      <c r="D1114" s="44"/>
      <c r="E1114" s="43"/>
      <c r="F1114" s="43"/>
      <c r="G1114" s="43"/>
    </row>
    <row r="1115" ht="14.25" customHeight="1">
      <c r="D1115" s="44"/>
      <c r="E1115" s="43"/>
      <c r="F1115" s="43"/>
      <c r="G1115" s="43"/>
    </row>
    <row r="1116" ht="14.25" customHeight="1">
      <c r="D1116" s="44"/>
      <c r="E1116" s="43"/>
      <c r="F1116" s="43"/>
      <c r="G1116" s="43"/>
    </row>
    <row r="1117" ht="14.25" customHeight="1">
      <c r="D1117" s="44"/>
      <c r="E1117" s="43"/>
      <c r="F1117" s="43"/>
      <c r="G1117" s="43"/>
    </row>
    <row r="1118" ht="14.25" customHeight="1">
      <c r="D1118" s="44"/>
      <c r="E1118" s="43"/>
      <c r="F1118" s="43"/>
      <c r="G1118" s="43"/>
    </row>
    <row r="1119" ht="14.25" customHeight="1">
      <c r="D1119" s="44"/>
      <c r="E1119" s="43"/>
      <c r="F1119" s="43"/>
      <c r="G1119" s="43"/>
    </row>
    <row r="1120" ht="14.25" customHeight="1">
      <c r="D1120" s="44"/>
      <c r="E1120" s="43"/>
      <c r="F1120" s="43"/>
      <c r="G1120" s="43"/>
    </row>
    <row r="1121" ht="14.25" customHeight="1">
      <c r="D1121" s="44"/>
      <c r="E1121" s="43"/>
      <c r="F1121" s="43"/>
      <c r="G1121" s="43"/>
    </row>
    <row r="1122" ht="14.25" customHeight="1">
      <c r="D1122" s="44"/>
      <c r="E1122" s="43"/>
      <c r="F1122" s="43"/>
      <c r="G1122" s="43"/>
    </row>
    <row r="1123" ht="14.25" customHeight="1">
      <c r="D1123" s="44"/>
      <c r="E1123" s="43"/>
      <c r="F1123" s="43"/>
      <c r="G1123" s="43"/>
    </row>
    <row r="1124" ht="14.25" customHeight="1">
      <c r="D1124" s="44"/>
      <c r="E1124" s="43"/>
      <c r="F1124" s="43"/>
      <c r="G1124" s="43"/>
    </row>
    <row r="1125" ht="14.25" customHeight="1">
      <c r="D1125" s="44"/>
      <c r="E1125" s="43"/>
      <c r="F1125" s="43"/>
      <c r="G1125" s="43"/>
    </row>
    <row r="1126" ht="14.25" customHeight="1">
      <c r="D1126" s="44"/>
      <c r="E1126" s="43"/>
      <c r="F1126" s="43"/>
      <c r="G1126" s="43"/>
    </row>
    <row r="1127" ht="14.25" customHeight="1">
      <c r="D1127" s="44"/>
      <c r="E1127" s="43"/>
      <c r="F1127" s="43"/>
      <c r="G1127" s="43"/>
    </row>
    <row r="1128" ht="14.25" customHeight="1">
      <c r="D1128" s="44"/>
      <c r="E1128" s="43"/>
      <c r="F1128" s="43"/>
      <c r="G1128" s="43"/>
    </row>
    <row r="1129" ht="14.25" customHeight="1">
      <c r="D1129" s="44"/>
      <c r="E1129" s="43"/>
      <c r="F1129" s="43"/>
      <c r="G1129" s="43"/>
    </row>
    <row r="1130" ht="14.25" customHeight="1">
      <c r="D1130" s="44"/>
      <c r="E1130" s="43"/>
      <c r="F1130" s="43"/>
      <c r="G1130" s="43"/>
    </row>
    <row r="1131" ht="14.25" customHeight="1">
      <c r="D1131" s="44"/>
      <c r="E1131" s="43"/>
      <c r="F1131" s="43"/>
      <c r="G1131" s="43"/>
    </row>
    <row r="1132" ht="14.25" customHeight="1">
      <c r="D1132" s="44"/>
      <c r="E1132" s="43"/>
      <c r="F1132" s="43"/>
      <c r="G1132" s="43"/>
    </row>
    <row r="1133" ht="14.25" customHeight="1">
      <c r="D1133" s="44"/>
      <c r="E1133" s="43"/>
      <c r="F1133" s="43"/>
      <c r="G1133" s="43"/>
    </row>
    <row r="1134" ht="14.25" customHeight="1">
      <c r="D1134" s="44"/>
      <c r="E1134" s="43"/>
      <c r="F1134" s="43"/>
      <c r="G1134" s="43"/>
    </row>
    <row r="1135" ht="14.25" customHeight="1">
      <c r="D1135" s="44"/>
      <c r="E1135" s="43"/>
      <c r="F1135" s="43"/>
      <c r="G1135" s="43"/>
    </row>
    <row r="1136" ht="14.25" customHeight="1">
      <c r="D1136" s="44"/>
      <c r="E1136" s="43"/>
      <c r="F1136" s="43"/>
      <c r="G1136" s="43"/>
    </row>
    <row r="1137" ht="14.25" customHeight="1">
      <c r="D1137" s="44"/>
      <c r="E1137" s="43"/>
      <c r="F1137" s="43"/>
      <c r="G1137" s="43"/>
    </row>
    <row r="1138" ht="14.25" customHeight="1">
      <c r="D1138" s="44"/>
      <c r="E1138" s="43"/>
      <c r="F1138" s="43"/>
      <c r="G1138" s="43"/>
    </row>
    <row r="1139" ht="14.25" customHeight="1">
      <c r="D1139" s="44"/>
      <c r="E1139" s="43"/>
      <c r="F1139" s="43"/>
      <c r="G1139" s="43"/>
    </row>
    <row r="1140" ht="14.25" customHeight="1">
      <c r="D1140" s="44"/>
      <c r="E1140" s="43"/>
      <c r="F1140" s="43"/>
      <c r="G1140" s="43"/>
    </row>
    <row r="1141" ht="14.25" customHeight="1">
      <c r="D1141" s="44"/>
      <c r="E1141" s="43"/>
      <c r="F1141" s="43"/>
      <c r="G1141" s="43"/>
    </row>
    <row r="1142" ht="14.25" customHeight="1">
      <c r="D1142" s="44"/>
      <c r="E1142" s="43"/>
      <c r="F1142" s="43"/>
      <c r="G1142" s="43"/>
    </row>
    <row r="1143" ht="14.25" customHeight="1">
      <c r="D1143" s="44"/>
      <c r="E1143" s="43"/>
      <c r="F1143" s="43"/>
      <c r="G1143" s="43"/>
    </row>
    <row r="1144" ht="14.25" customHeight="1">
      <c r="D1144" s="44"/>
      <c r="E1144" s="43"/>
      <c r="F1144" s="43"/>
      <c r="G1144" s="43"/>
    </row>
    <row r="1145" ht="14.25" customHeight="1">
      <c r="D1145" s="44"/>
      <c r="E1145" s="43"/>
      <c r="F1145" s="43"/>
      <c r="G1145" s="43"/>
    </row>
    <row r="1146" ht="14.25" customHeight="1">
      <c r="D1146" s="44"/>
      <c r="E1146" s="43"/>
      <c r="F1146" s="43"/>
      <c r="G1146" s="43"/>
    </row>
    <row r="1147" ht="14.25" customHeight="1">
      <c r="D1147" s="44"/>
      <c r="E1147" s="43"/>
      <c r="F1147" s="43"/>
      <c r="G1147" s="43"/>
    </row>
    <row r="1148" ht="14.25" customHeight="1">
      <c r="D1148" s="44"/>
      <c r="E1148" s="43"/>
      <c r="F1148" s="43"/>
      <c r="G1148" s="43"/>
    </row>
    <row r="1149" ht="14.25" customHeight="1">
      <c r="D1149" s="44"/>
      <c r="E1149" s="43"/>
      <c r="F1149" s="43"/>
      <c r="G1149" s="43"/>
    </row>
    <row r="1150" ht="14.25" customHeight="1">
      <c r="D1150" s="44"/>
      <c r="E1150" s="43"/>
      <c r="F1150" s="43"/>
      <c r="G1150" s="43"/>
    </row>
    <row r="1151" ht="14.25" customHeight="1">
      <c r="D1151" s="44"/>
      <c r="E1151" s="43"/>
      <c r="F1151" s="43"/>
      <c r="G1151" s="43"/>
    </row>
    <row r="1152" ht="14.25" customHeight="1">
      <c r="D1152" s="44"/>
      <c r="E1152" s="43"/>
      <c r="F1152" s="43"/>
      <c r="G1152" s="43"/>
    </row>
    <row r="1153" ht="14.25" customHeight="1">
      <c r="D1153" s="44"/>
      <c r="E1153" s="43"/>
      <c r="F1153" s="43"/>
      <c r="G1153" s="43"/>
    </row>
    <row r="1154" ht="14.25" customHeight="1">
      <c r="D1154" s="44"/>
      <c r="E1154" s="43"/>
      <c r="F1154" s="43"/>
      <c r="G1154" s="43"/>
    </row>
    <row r="1155" ht="14.25" customHeight="1">
      <c r="D1155" s="44"/>
      <c r="E1155" s="43"/>
      <c r="F1155" s="43"/>
      <c r="G1155" s="43"/>
    </row>
    <row r="1156" ht="14.25" customHeight="1">
      <c r="D1156" s="44"/>
      <c r="E1156" s="43"/>
      <c r="F1156" s="43"/>
      <c r="G1156" s="43"/>
    </row>
    <row r="1157" ht="14.25" customHeight="1">
      <c r="D1157" s="44"/>
      <c r="E1157" s="43"/>
      <c r="F1157" s="43"/>
      <c r="G1157" s="43"/>
    </row>
    <row r="1158" ht="14.25" customHeight="1">
      <c r="D1158" s="44"/>
      <c r="E1158" s="43"/>
      <c r="F1158" s="43"/>
      <c r="G1158" s="43"/>
    </row>
    <row r="1159" ht="14.25" customHeight="1">
      <c r="D1159" s="44"/>
      <c r="E1159" s="43"/>
      <c r="F1159" s="43"/>
      <c r="G1159" s="43"/>
    </row>
    <row r="1160" ht="14.25" customHeight="1">
      <c r="D1160" s="44"/>
      <c r="E1160" s="43"/>
      <c r="F1160" s="43"/>
      <c r="G1160" s="43"/>
    </row>
    <row r="1161" ht="14.25" customHeight="1">
      <c r="D1161" s="44"/>
      <c r="E1161" s="43"/>
      <c r="F1161" s="43"/>
      <c r="G1161" s="43"/>
    </row>
    <row r="1162" ht="14.25" customHeight="1">
      <c r="D1162" s="44"/>
      <c r="E1162" s="43"/>
      <c r="F1162" s="43"/>
      <c r="G1162" s="43"/>
    </row>
    <row r="1163" ht="14.25" customHeight="1">
      <c r="D1163" s="44"/>
      <c r="E1163" s="43"/>
      <c r="F1163" s="43"/>
      <c r="G1163" s="43"/>
    </row>
    <row r="1164" ht="14.25" customHeight="1">
      <c r="D1164" s="44"/>
      <c r="E1164" s="43"/>
      <c r="F1164" s="43"/>
      <c r="G1164" s="43"/>
    </row>
    <row r="1165" ht="14.25" customHeight="1">
      <c r="D1165" s="44"/>
      <c r="E1165" s="43"/>
      <c r="F1165" s="43"/>
      <c r="G1165" s="43"/>
    </row>
    <row r="1166" ht="14.25" customHeight="1">
      <c r="D1166" s="44"/>
      <c r="E1166" s="43"/>
      <c r="F1166" s="43"/>
      <c r="G1166" s="43"/>
    </row>
    <row r="1167" ht="14.25" customHeight="1">
      <c r="D1167" s="44"/>
      <c r="E1167" s="43"/>
      <c r="F1167" s="43"/>
      <c r="G1167" s="43"/>
    </row>
    <row r="1168" ht="14.25" customHeight="1">
      <c r="D1168" s="44"/>
      <c r="E1168" s="43"/>
      <c r="F1168" s="43"/>
      <c r="G1168" s="43"/>
    </row>
    <row r="1169" ht="14.25" customHeight="1">
      <c r="D1169" s="44"/>
      <c r="E1169" s="43"/>
      <c r="F1169" s="43"/>
      <c r="G1169" s="43"/>
    </row>
    <row r="1170" ht="14.25" customHeight="1">
      <c r="D1170" s="44"/>
      <c r="E1170" s="43"/>
      <c r="F1170" s="43"/>
      <c r="G1170" s="43"/>
    </row>
    <row r="1171" ht="14.25" customHeight="1">
      <c r="D1171" s="44"/>
      <c r="E1171" s="43"/>
      <c r="F1171" s="43"/>
      <c r="G1171" s="43"/>
    </row>
    <row r="1172" ht="14.25" customHeight="1">
      <c r="D1172" s="44"/>
      <c r="E1172" s="43"/>
      <c r="F1172" s="43"/>
      <c r="G1172" s="43"/>
    </row>
    <row r="1173" ht="14.25" customHeight="1">
      <c r="D1173" s="44"/>
      <c r="E1173" s="43"/>
      <c r="F1173" s="43"/>
      <c r="G1173" s="43"/>
    </row>
    <row r="1174" ht="14.25" customHeight="1">
      <c r="D1174" s="44"/>
      <c r="E1174" s="43"/>
      <c r="F1174" s="43"/>
      <c r="G1174" s="43"/>
    </row>
    <row r="1175" ht="14.25" customHeight="1">
      <c r="D1175" s="44"/>
      <c r="E1175" s="43"/>
      <c r="F1175" s="43"/>
      <c r="G1175" s="43"/>
    </row>
    <row r="1176" ht="14.25" customHeight="1">
      <c r="D1176" s="44"/>
      <c r="E1176" s="43"/>
      <c r="F1176" s="43"/>
      <c r="G1176" s="43"/>
    </row>
    <row r="1177" ht="14.25" customHeight="1">
      <c r="D1177" s="44"/>
      <c r="E1177" s="43"/>
      <c r="F1177" s="43"/>
      <c r="G1177" s="43"/>
    </row>
    <row r="1178" ht="14.25" customHeight="1">
      <c r="D1178" s="44"/>
      <c r="E1178" s="43"/>
      <c r="F1178" s="43"/>
      <c r="G1178" s="43"/>
    </row>
    <row r="1179" ht="14.25" customHeight="1">
      <c r="D1179" s="44"/>
      <c r="E1179" s="43"/>
      <c r="F1179" s="43"/>
      <c r="G1179" s="43"/>
    </row>
    <row r="1180" ht="14.25" customHeight="1">
      <c r="D1180" s="44"/>
      <c r="E1180" s="43"/>
      <c r="F1180" s="43"/>
      <c r="G1180" s="43"/>
    </row>
    <row r="1181" ht="14.25" customHeight="1">
      <c r="D1181" s="44"/>
      <c r="E1181" s="43"/>
      <c r="F1181" s="43"/>
      <c r="G1181" s="43"/>
    </row>
    <row r="1182" ht="14.25" customHeight="1">
      <c r="D1182" s="44"/>
      <c r="E1182" s="43"/>
      <c r="F1182" s="43"/>
      <c r="G1182" s="43"/>
    </row>
    <row r="1183" ht="14.25" customHeight="1">
      <c r="D1183" s="44"/>
      <c r="E1183" s="43"/>
      <c r="F1183" s="43"/>
      <c r="G1183" s="43"/>
    </row>
    <row r="1184" ht="14.25" customHeight="1">
      <c r="D1184" s="44"/>
      <c r="E1184" s="43"/>
      <c r="F1184" s="43"/>
      <c r="G1184" s="43"/>
    </row>
    <row r="1185" ht="14.25" customHeight="1">
      <c r="D1185" s="44"/>
      <c r="E1185" s="43"/>
      <c r="F1185" s="43"/>
      <c r="G1185" s="43"/>
    </row>
    <row r="1186" ht="14.25" customHeight="1">
      <c r="D1186" s="44"/>
      <c r="E1186" s="43"/>
      <c r="F1186" s="43"/>
      <c r="G1186" s="43"/>
    </row>
    <row r="1187" ht="14.25" customHeight="1">
      <c r="D1187" s="44"/>
      <c r="E1187" s="43"/>
      <c r="F1187" s="43"/>
      <c r="G1187" s="43"/>
    </row>
    <row r="1188" ht="14.25" customHeight="1">
      <c r="D1188" s="44"/>
      <c r="E1188" s="43"/>
      <c r="F1188" s="43"/>
      <c r="G1188" s="43"/>
    </row>
    <row r="1189" ht="14.25" customHeight="1">
      <c r="D1189" s="44"/>
      <c r="E1189" s="43"/>
      <c r="F1189" s="43"/>
      <c r="G1189" s="43"/>
    </row>
    <row r="1190" ht="14.25" customHeight="1">
      <c r="D1190" s="44"/>
      <c r="E1190" s="43"/>
      <c r="F1190" s="43"/>
      <c r="G1190" s="43"/>
    </row>
    <row r="1191" ht="14.25" customHeight="1">
      <c r="D1191" s="44"/>
      <c r="E1191" s="43"/>
      <c r="F1191" s="43"/>
      <c r="G1191" s="43"/>
    </row>
    <row r="1192" ht="14.25" customHeight="1">
      <c r="D1192" s="44"/>
      <c r="E1192" s="43"/>
      <c r="F1192" s="43"/>
      <c r="G1192" s="43"/>
    </row>
    <row r="1193" ht="14.25" customHeight="1">
      <c r="D1193" s="44"/>
      <c r="E1193" s="43"/>
      <c r="F1193" s="43"/>
      <c r="G1193" s="43"/>
    </row>
    <row r="1194" ht="14.25" customHeight="1">
      <c r="D1194" s="44"/>
      <c r="E1194" s="43"/>
      <c r="F1194" s="43"/>
      <c r="G1194" s="43"/>
    </row>
    <row r="1195" ht="14.25" customHeight="1">
      <c r="D1195" s="44"/>
      <c r="E1195" s="43"/>
      <c r="F1195" s="43"/>
      <c r="G1195" s="43"/>
    </row>
    <row r="1196" ht="14.25" customHeight="1">
      <c r="D1196" s="44"/>
      <c r="E1196" s="43"/>
      <c r="F1196" s="43"/>
      <c r="G1196" s="43"/>
    </row>
    <row r="1197" ht="14.25" customHeight="1">
      <c r="D1197" s="44"/>
      <c r="E1197" s="43"/>
      <c r="F1197" s="43"/>
      <c r="G1197" s="43"/>
    </row>
    <row r="1198" ht="14.25" customHeight="1">
      <c r="D1198" s="44"/>
      <c r="E1198" s="43"/>
      <c r="F1198" s="43"/>
      <c r="G1198" s="43"/>
    </row>
    <row r="1199" ht="14.25" customHeight="1">
      <c r="D1199" s="44"/>
      <c r="E1199" s="43"/>
      <c r="F1199" s="43"/>
      <c r="G1199" s="43"/>
    </row>
    <row r="1200" ht="14.25" customHeight="1">
      <c r="D1200" s="44"/>
      <c r="E1200" s="43"/>
      <c r="F1200" s="43"/>
      <c r="G1200" s="43"/>
    </row>
    <row r="1201" ht="14.25" customHeight="1">
      <c r="D1201" s="44"/>
      <c r="E1201" s="43"/>
      <c r="F1201" s="43"/>
      <c r="G1201" s="43"/>
    </row>
    <row r="1202" ht="14.25" customHeight="1">
      <c r="D1202" s="44"/>
      <c r="E1202" s="43"/>
      <c r="F1202" s="43"/>
      <c r="G1202" s="43"/>
    </row>
    <row r="1203" ht="14.25" customHeight="1">
      <c r="D1203" s="44"/>
      <c r="E1203" s="43"/>
      <c r="F1203" s="43"/>
      <c r="G1203" s="43"/>
    </row>
    <row r="1204" ht="14.25" customHeight="1">
      <c r="D1204" s="44"/>
      <c r="E1204" s="43"/>
      <c r="F1204" s="43"/>
      <c r="G1204" s="43"/>
    </row>
    <row r="1205" ht="14.25" customHeight="1">
      <c r="D1205" s="44"/>
      <c r="E1205" s="43"/>
      <c r="F1205" s="43"/>
      <c r="G1205" s="43"/>
    </row>
    <row r="1206" ht="14.25" customHeight="1">
      <c r="D1206" s="44"/>
      <c r="E1206" s="43"/>
      <c r="F1206" s="43"/>
      <c r="G1206" s="43"/>
    </row>
    <row r="1207" ht="14.25" customHeight="1">
      <c r="D1207" s="44"/>
      <c r="E1207" s="43"/>
      <c r="F1207" s="43"/>
      <c r="G1207" s="43"/>
    </row>
    <row r="1208" ht="14.25" customHeight="1">
      <c r="D1208" s="44"/>
      <c r="E1208" s="43"/>
      <c r="F1208" s="43"/>
      <c r="G1208" s="43"/>
    </row>
    <row r="1209" ht="14.25" customHeight="1">
      <c r="D1209" s="44"/>
      <c r="E1209" s="43"/>
      <c r="F1209" s="43"/>
      <c r="G1209" s="43"/>
    </row>
    <row r="1210" ht="14.25" customHeight="1">
      <c r="D1210" s="44"/>
      <c r="E1210" s="43"/>
      <c r="F1210" s="43"/>
      <c r="G1210" s="43"/>
    </row>
    <row r="1211" ht="14.25" customHeight="1">
      <c r="D1211" s="44"/>
      <c r="E1211" s="43"/>
      <c r="F1211" s="43"/>
      <c r="G1211" s="43"/>
    </row>
    <row r="1212" ht="14.25" customHeight="1">
      <c r="D1212" s="44"/>
      <c r="E1212" s="43"/>
      <c r="F1212" s="43"/>
      <c r="G1212" s="43"/>
    </row>
    <row r="1213" ht="14.25" customHeight="1">
      <c r="D1213" s="44"/>
      <c r="E1213" s="43"/>
      <c r="F1213" s="43"/>
      <c r="G1213" s="43"/>
    </row>
    <row r="1214" ht="14.25" customHeight="1">
      <c r="D1214" s="44"/>
      <c r="E1214" s="43"/>
      <c r="F1214" s="43"/>
      <c r="G1214" s="43"/>
    </row>
    <row r="1215" ht="14.25" customHeight="1">
      <c r="D1215" s="44"/>
      <c r="E1215" s="43"/>
      <c r="F1215" s="43"/>
      <c r="G1215" s="43"/>
    </row>
    <row r="1216" ht="14.25" customHeight="1">
      <c r="D1216" s="44"/>
      <c r="E1216" s="43"/>
      <c r="F1216" s="43"/>
      <c r="G1216" s="43"/>
    </row>
    <row r="1217" ht="14.25" customHeight="1">
      <c r="D1217" s="44"/>
      <c r="E1217" s="43"/>
      <c r="F1217" s="43"/>
      <c r="G1217" s="43"/>
    </row>
    <row r="1218" ht="14.25" customHeight="1">
      <c r="D1218" s="44"/>
      <c r="E1218" s="43"/>
      <c r="F1218" s="43"/>
      <c r="G1218" s="43"/>
    </row>
    <row r="1219" ht="14.25" customHeight="1">
      <c r="D1219" s="44"/>
      <c r="E1219" s="43"/>
      <c r="F1219" s="43"/>
      <c r="G1219" s="43"/>
    </row>
    <row r="1220" ht="14.25" customHeight="1">
      <c r="D1220" s="44"/>
      <c r="E1220" s="43"/>
      <c r="F1220" s="43"/>
      <c r="G1220" s="43"/>
    </row>
    <row r="1221" ht="14.25" customHeight="1">
      <c r="D1221" s="44"/>
      <c r="E1221" s="43"/>
      <c r="F1221" s="43"/>
      <c r="G1221" s="43"/>
    </row>
    <row r="1222" ht="14.25" customHeight="1">
      <c r="D1222" s="44"/>
      <c r="E1222" s="43"/>
      <c r="F1222" s="43"/>
      <c r="G1222" s="43"/>
    </row>
    <row r="1223" ht="14.25" customHeight="1">
      <c r="D1223" s="44"/>
      <c r="E1223" s="43"/>
      <c r="F1223" s="43"/>
      <c r="G1223" s="43"/>
    </row>
    <row r="1224" ht="14.25" customHeight="1">
      <c r="D1224" s="44"/>
      <c r="E1224" s="43"/>
      <c r="F1224" s="43"/>
      <c r="G1224" s="43"/>
    </row>
    <row r="1225" ht="14.25" customHeight="1">
      <c r="D1225" s="44"/>
      <c r="E1225" s="43"/>
      <c r="F1225" s="43"/>
      <c r="G1225" s="43"/>
    </row>
    <row r="1226" ht="14.25" customHeight="1">
      <c r="D1226" s="44"/>
      <c r="E1226" s="43"/>
      <c r="F1226" s="43"/>
      <c r="G1226" s="43"/>
    </row>
    <row r="1227" ht="14.25" customHeight="1">
      <c r="D1227" s="44"/>
      <c r="E1227" s="43"/>
      <c r="F1227" s="43"/>
      <c r="G1227" s="43"/>
    </row>
    <row r="1228" ht="14.25" customHeight="1">
      <c r="D1228" s="44"/>
      <c r="E1228" s="43"/>
      <c r="F1228" s="43"/>
      <c r="G1228" s="43"/>
    </row>
    <row r="1229" ht="14.25" customHeight="1">
      <c r="D1229" s="44"/>
      <c r="E1229" s="43"/>
      <c r="F1229" s="43"/>
      <c r="G1229" s="43"/>
    </row>
    <row r="1230" ht="14.25" customHeight="1">
      <c r="D1230" s="44"/>
      <c r="E1230" s="43"/>
      <c r="F1230" s="43"/>
      <c r="G1230" s="43"/>
    </row>
    <row r="1231" ht="14.25" customHeight="1">
      <c r="D1231" s="44"/>
      <c r="E1231" s="43"/>
      <c r="F1231" s="43"/>
      <c r="G1231" s="43"/>
    </row>
    <row r="1232" ht="14.25" customHeight="1">
      <c r="D1232" s="44"/>
      <c r="E1232" s="43"/>
      <c r="F1232" s="43"/>
      <c r="G1232" s="43"/>
    </row>
    <row r="1233" ht="14.25" customHeight="1">
      <c r="D1233" s="44"/>
      <c r="E1233" s="43"/>
      <c r="F1233" s="43"/>
      <c r="G1233" s="43"/>
    </row>
    <row r="1234" ht="14.25" customHeight="1">
      <c r="D1234" s="44"/>
      <c r="E1234" s="43"/>
      <c r="F1234" s="43"/>
      <c r="G1234" s="43"/>
    </row>
    <row r="1235" ht="14.25" customHeight="1">
      <c r="D1235" s="44"/>
      <c r="E1235" s="43"/>
      <c r="F1235" s="43"/>
      <c r="G1235" s="43"/>
    </row>
    <row r="1236" ht="14.25" customHeight="1">
      <c r="D1236" s="44"/>
      <c r="E1236" s="43"/>
      <c r="F1236" s="43"/>
      <c r="G1236" s="43"/>
    </row>
    <row r="1237" ht="14.25" customHeight="1">
      <c r="D1237" s="44"/>
      <c r="E1237" s="43"/>
      <c r="F1237" s="43"/>
      <c r="G1237" s="43"/>
    </row>
    <row r="1238" ht="14.25" customHeight="1">
      <c r="D1238" s="44"/>
      <c r="E1238" s="43"/>
      <c r="F1238" s="43"/>
      <c r="G1238" s="43"/>
    </row>
    <row r="1239" ht="14.25" customHeight="1">
      <c r="D1239" s="44"/>
      <c r="E1239" s="43"/>
      <c r="F1239" s="43"/>
      <c r="G1239" s="43"/>
    </row>
    <row r="1240" ht="14.25" customHeight="1">
      <c r="D1240" s="44"/>
      <c r="E1240" s="43"/>
      <c r="F1240" s="43"/>
      <c r="G1240" s="43"/>
    </row>
    <row r="1241" ht="14.25" customHeight="1">
      <c r="D1241" s="44"/>
      <c r="E1241" s="43"/>
      <c r="F1241" s="43"/>
      <c r="G1241" s="43"/>
    </row>
    <row r="1242" ht="14.25" customHeight="1">
      <c r="D1242" s="44"/>
      <c r="E1242" s="43"/>
      <c r="F1242" s="43"/>
      <c r="G1242" s="43"/>
    </row>
    <row r="1243" ht="14.25" customHeight="1">
      <c r="D1243" s="44"/>
      <c r="E1243" s="43"/>
      <c r="F1243" s="43"/>
      <c r="G1243" s="43"/>
    </row>
    <row r="1244" ht="14.25" customHeight="1">
      <c r="D1244" s="44"/>
      <c r="E1244" s="43"/>
      <c r="F1244" s="43"/>
      <c r="G1244" s="43"/>
    </row>
    <row r="1245" ht="14.25" customHeight="1">
      <c r="D1245" s="44"/>
      <c r="E1245" s="43"/>
      <c r="F1245" s="43"/>
      <c r="G1245" s="43"/>
    </row>
    <row r="1246" ht="14.25" customHeight="1">
      <c r="D1246" s="44"/>
      <c r="E1246" s="43"/>
      <c r="F1246" s="43"/>
      <c r="G1246" s="43"/>
    </row>
    <row r="1247" ht="14.25" customHeight="1">
      <c r="D1247" s="44"/>
      <c r="E1247" s="43"/>
      <c r="F1247" s="43"/>
      <c r="G1247" s="43"/>
    </row>
    <row r="1248" ht="14.25" customHeight="1">
      <c r="D1248" s="44"/>
      <c r="E1248" s="43"/>
      <c r="F1248" s="43"/>
      <c r="G1248" s="43"/>
    </row>
    <row r="1249" ht="14.25" customHeight="1">
      <c r="D1249" s="44"/>
      <c r="E1249" s="43"/>
      <c r="F1249" s="43"/>
      <c r="G1249" s="43"/>
    </row>
    <row r="1250" ht="14.25" customHeight="1">
      <c r="D1250" s="44"/>
      <c r="E1250" s="43"/>
      <c r="F1250" s="43"/>
      <c r="G1250" s="43"/>
    </row>
    <row r="1251" ht="14.25" customHeight="1">
      <c r="D1251" s="44"/>
      <c r="E1251" s="43"/>
      <c r="F1251" s="43"/>
      <c r="G1251" s="43"/>
    </row>
    <row r="1252" ht="14.25" customHeight="1">
      <c r="D1252" s="44"/>
      <c r="E1252" s="43"/>
      <c r="F1252" s="43"/>
      <c r="G1252" s="43"/>
    </row>
    <row r="1253" ht="14.25" customHeight="1">
      <c r="D1253" s="44"/>
      <c r="E1253" s="43"/>
      <c r="F1253" s="43"/>
      <c r="G1253" s="43"/>
    </row>
    <row r="1254" ht="14.25" customHeight="1">
      <c r="D1254" s="44"/>
      <c r="E1254" s="43"/>
      <c r="F1254" s="43"/>
      <c r="G1254" s="43"/>
    </row>
    <row r="1255" ht="14.25" customHeight="1">
      <c r="D1255" s="44"/>
      <c r="E1255" s="43"/>
      <c r="F1255" s="43"/>
      <c r="G1255" s="43"/>
    </row>
    <row r="1256" ht="14.25" customHeight="1">
      <c r="D1256" s="44"/>
      <c r="E1256" s="43"/>
      <c r="F1256" s="43"/>
      <c r="G1256" s="43"/>
    </row>
    <row r="1257" ht="14.25" customHeight="1">
      <c r="D1257" s="44"/>
      <c r="E1257" s="43"/>
      <c r="F1257" s="43"/>
      <c r="G1257" s="43"/>
    </row>
    <row r="1258" ht="14.25" customHeight="1">
      <c r="D1258" s="44"/>
      <c r="E1258" s="43"/>
      <c r="F1258" s="43"/>
      <c r="G1258" s="43"/>
    </row>
    <row r="1259" ht="14.25" customHeight="1">
      <c r="D1259" s="44"/>
      <c r="E1259" s="43"/>
      <c r="F1259" s="43"/>
      <c r="G1259" s="43"/>
    </row>
    <row r="1260" ht="14.25" customHeight="1">
      <c r="D1260" s="44"/>
      <c r="E1260" s="43"/>
      <c r="F1260" s="43"/>
      <c r="G1260" s="43"/>
    </row>
    <row r="1261" ht="14.25" customHeight="1">
      <c r="D1261" s="44"/>
      <c r="E1261" s="43"/>
      <c r="F1261" s="43"/>
      <c r="G1261" s="43"/>
    </row>
    <row r="1262" ht="14.25" customHeight="1">
      <c r="D1262" s="44"/>
      <c r="E1262" s="43"/>
      <c r="F1262" s="43"/>
      <c r="G1262" s="43"/>
    </row>
    <row r="1263" ht="14.25" customHeight="1">
      <c r="D1263" s="44"/>
      <c r="E1263" s="43"/>
      <c r="F1263" s="43"/>
      <c r="G1263" s="43"/>
    </row>
    <row r="1264" ht="14.25" customHeight="1">
      <c r="D1264" s="44"/>
      <c r="E1264" s="43"/>
      <c r="F1264" s="43"/>
      <c r="G1264" s="43"/>
    </row>
    <row r="1265" ht="14.25" customHeight="1">
      <c r="D1265" s="44"/>
      <c r="E1265" s="43"/>
      <c r="F1265" s="43"/>
      <c r="G1265" s="43"/>
    </row>
    <row r="1266" ht="14.25" customHeight="1">
      <c r="D1266" s="44"/>
      <c r="E1266" s="43"/>
      <c r="F1266" s="43"/>
      <c r="G1266" s="43"/>
    </row>
    <row r="1267" ht="14.25" customHeight="1">
      <c r="D1267" s="44"/>
      <c r="E1267" s="43"/>
      <c r="F1267" s="43"/>
      <c r="G1267" s="43"/>
    </row>
    <row r="1268" ht="14.25" customHeight="1">
      <c r="D1268" s="44"/>
      <c r="E1268" s="43"/>
      <c r="F1268" s="43"/>
      <c r="G1268" s="43"/>
    </row>
    <row r="1269" ht="14.25" customHeight="1">
      <c r="D1269" s="44"/>
      <c r="E1269" s="43"/>
      <c r="F1269" s="43"/>
      <c r="G1269" s="43"/>
    </row>
    <row r="1270" ht="14.25" customHeight="1">
      <c r="D1270" s="44"/>
      <c r="E1270" s="43"/>
      <c r="F1270" s="43"/>
      <c r="G1270" s="43"/>
    </row>
    <row r="1271" ht="14.25" customHeight="1">
      <c r="D1271" s="44"/>
      <c r="E1271" s="43"/>
      <c r="F1271" s="43"/>
      <c r="G1271" s="43"/>
    </row>
    <row r="1272" ht="14.25" customHeight="1">
      <c r="D1272" s="44"/>
      <c r="E1272" s="43"/>
      <c r="F1272" s="43"/>
      <c r="G1272" s="43"/>
    </row>
    <row r="1273" ht="14.25" customHeight="1">
      <c r="D1273" s="44"/>
      <c r="E1273" s="43"/>
      <c r="F1273" s="43"/>
      <c r="G1273" s="43"/>
    </row>
    <row r="1274" ht="14.25" customHeight="1">
      <c r="D1274" s="44"/>
      <c r="E1274" s="43"/>
      <c r="F1274" s="43"/>
      <c r="G1274" s="43"/>
    </row>
    <row r="1275" ht="14.25" customHeight="1">
      <c r="D1275" s="44"/>
      <c r="E1275" s="43"/>
      <c r="F1275" s="43"/>
      <c r="G1275" s="43"/>
    </row>
    <row r="1276" ht="14.25" customHeight="1">
      <c r="D1276" s="44"/>
      <c r="E1276" s="43"/>
      <c r="F1276" s="43"/>
      <c r="G1276" s="43"/>
    </row>
    <row r="1277" ht="14.25" customHeight="1">
      <c r="D1277" s="44"/>
      <c r="E1277" s="43"/>
      <c r="F1277" s="43"/>
      <c r="G1277" s="43"/>
    </row>
    <row r="1278" ht="14.25" customHeight="1">
      <c r="D1278" s="44"/>
      <c r="E1278" s="43"/>
      <c r="F1278" s="43"/>
      <c r="G1278" s="43"/>
    </row>
    <row r="1279" ht="14.25" customHeight="1">
      <c r="D1279" s="44"/>
      <c r="E1279" s="43"/>
      <c r="F1279" s="43"/>
      <c r="G1279" s="43"/>
    </row>
    <row r="1280" ht="14.25" customHeight="1">
      <c r="D1280" s="44"/>
      <c r="E1280" s="43"/>
      <c r="F1280" s="43"/>
      <c r="G1280" s="43"/>
    </row>
    <row r="1281" ht="14.25" customHeight="1">
      <c r="D1281" s="44"/>
      <c r="E1281" s="43"/>
      <c r="F1281" s="43"/>
      <c r="G1281" s="43"/>
    </row>
    <row r="1282">
      <c r="D1282" s="44"/>
      <c r="E1282" s="43"/>
      <c r="F1282" s="43"/>
      <c r="G1282" s="43"/>
    </row>
    <row r="1283" ht="14.25" customHeight="1">
      <c r="D1283" s="44"/>
      <c r="E1283" s="43"/>
      <c r="F1283" s="43"/>
      <c r="G1283" s="43"/>
    </row>
    <row r="1284" ht="14.25" customHeight="1">
      <c r="D1284" s="44"/>
      <c r="E1284" s="43"/>
      <c r="F1284" s="43"/>
      <c r="G1284" s="43"/>
    </row>
    <row r="1285" ht="14.25" customHeight="1">
      <c r="D1285" s="44"/>
      <c r="E1285" s="43"/>
      <c r="F1285" s="43"/>
      <c r="G1285" s="43"/>
    </row>
    <row r="1286" ht="14.25" customHeight="1">
      <c r="D1286" s="44"/>
      <c r="E1286" s="43"/>
      <c r="F1286" s="43"/>
      <c r="G1286" s="43"/>
    </row>
    <row r="1287" ht="14.25" customHeight="1">
      <c r="D1287" s="44"/>
      <c r="E1287" s="43"/>
      <c r="F1287" s="43"/>
      <c r="G1287" s="43"/>
    </row>
    <row r="1288" ht="14.25" customHeight="1">
      <c r="D1288" s="44"/>
      <c r="E1288" s="43"/>
      <c r="F1288" s="43"/>
      <c r="G1288" s="43"/>
    </row>
    <row r="1289" ht="14.25" customHeight="1">
      <c r="D1289" s="44"/>
      <c r="E1289" s="43"/>
      <c r="F1289" s="43"/>
      <c r="G1289" s="43"/>
    </row>
    <row r="1290" ht="14.25" customHeight="1">
      <c r="D1290" s="44"/>
      <c r="E1290" s="43"/>
      <c r="F1290" s="43"/>
      <c r="G1290" s="43"/>
    </row>
    <row r="1291" ht="14.25" customHeight="1">
      <c r="D1291" s="44"/>
      <c r="E1291" s="43"/>
      <c r="F1291" s="43"/>
      <c r="G1291" s="43"/>
    </row>
    <row r="1292" ht="14.25" customHeight="1">
      <c r="D1292" s="44"/>
      <c r="E1292" s="43"/>
      <c r="F1292" s="43"/>
      <c r="G1292" s="43"/>
    </row>
    <row r="1293" ht="14.25" customHeight="1">
      <c r="D1293" s="44"/>
      <c r="E1293" s="43"/>
      <c r="F1293" s="43"/>
      <c r="G1293" s="43"/>
    </row>
    <row r="1294" ht="14.25" customHeight="1">
      <c r="D1294" s="44"/>
      <c r="E1294" s="43"/>
      <c r="F1294" s="43"/>
      <c r="G1294" s="43"/>
    </row>
    <row r="1295" ht="14.25" customHeight="1">
      <c r="D1295" s="44"/>
      <c r="E1295" s="43"/>
      <c r="F1295" s="43"/>
      <c r="G1295" s="43"/>
    </row>
    <row r="1296" ht="14.25" customHeight="1">
      <c r="D1296" s="44"/>
      <c r="E1296" s="43"/>
      <c r="F1296" s="43"/>
      <c r="G1296" s="43"/>
    </row>
    <row r="1297" ht="14.25" customHeight="1">
      <c r="D1297" s="44"/>
      <c r="E1297" s="43"/>
      <c r="F1297" s="43"/>
      <c r="G1297" s="43"/>
    </row>
    <row r="1298" ht="14.25" customHeight="1">
      <c r="D1298" s="44"/>
      <c r="E1298" s="43"/>
      <c r="F1298" s="43"/>
      <c r="G1298" s="43"/>
    </row>
  </sheetData>
  <autoFilter ref="$A$1:$G$474">
    <filterColumn colId="0">
      <filters>
        <filter val="ESTUCHERIA"/>
      </filters>
    </filterColumn>
  </autoFilter>
  <conditionalFormatting sqref="B374">
    <cfRule type="expression" dxfId="0" priority="1">
      <formula>#REF!&lt;&gt;""</formula>
    </cfRule>
  </conditionalFormatting>
  <conditionalFormatting sqref="B374">
    <cfRule type="expression" dxfId="0" priority="2">
      <formula>$G374&lt;&gt;""</formula>
    </cfRule>
  </conditionalFormatting>
  <conditionalFormatting sqref="D364:D365">
    <cfRule type="expression" dxfId="1" priority="3">
      <formula>AND($B364&lt;&gt;"",#REF!="")</formula>
    </cfRule>
  </conditionalFormatting>
  <conditionalFormatting sqref="B118 A457:A470">
    <cfRule type="expression" dxfId="0" priority="4">
      <formula>#REF!&lt;&gt;""</formula>
    </cfRule>
  </conditionalFormatting>
  <conditionalFormatting sqref="B118 B345 B349">
    <cfRule type="expression" dxfId="0" priority="5">
      <formula>$F118&lt;&gt;""</formula>
    </cfRule>
  </conditionalFormatting>
  <conditionalFormatting sqref="B2:B6 B67 B89:B91 B93:B94 B103 B236 B238 B244 B272 B316 B362:B363 D364:D365">
    <cfRule type="expression" dxfId="0" priority="6">
      <formula>#REF!&lt;&gt;""</formula>
    </cfRule>
  </conditionalFormatting>
  <conditionalFormatting sqref="D200:D287 I279:I281">
    <cfRule type="expression" dxfId="0" priority="7">
      <formula>#REF!&lt;&gt;""</formula>
    </cfRule>
  </conditionalFormatting>
  <conditionalFormatting sqref="D2:D60 D103:D192 D194:D199 J279:J281">
    <cfRule type="expression" dxfId="0" priority="8">
      <formula>#REF!&lt;&gt;""</formula>
    </cfRule>
  </conditionalFormatting>
  <dataValidations>
    <dataValidation type="list" allowBlank="1" sqref="B8 B28:B32 B36:B37 B117:B118 B121:B122 B320 B349 B409 B416">
      <formula1>INDIRECT("LISTA_"&amp;SUBSTITUTE($A8," ","_"))</formula1>
    </dataValidation>
  </dataValidations>
  <printOptions/>
  <pageMargins bottom="0.0" footer="0.0" header="0.0" left="0.07317073170731707" right="0.06097560975609757" top="0.0"/>
  <pageSetup scale="120" orientation="landscape"/>
  <drawing r:id="rId1"/>
</worksheet>
</file>